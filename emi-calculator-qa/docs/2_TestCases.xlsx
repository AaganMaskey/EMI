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est Cases" sheetId="2" r:id="rId6"/>
    <sheet state="visible" name="EMI Reference" sheetId="3" r:id="rId7"/>
  </sheets>
  <definedNames>
    <definedName hidden="1" localSheetId="1" name="_xlnm._FilterDatabase">'Test Cases'!$A$1:$M$101</definedName>
  </definedNames>
  <calcPr/>
</workbook>
</file>

<file path=xl/sharedStrings.xml><?xml version="1.0" encoding="utf-8"?>
<sst xmlns="http://schemas.openxmlformats.org/spreadsheetml/2006/main" count="872" uniqueCount="393">
  <si>
    <t>EMI Calculator - Test Case Summary</t>
  </si>
  <si>
    <t>EMI formula reference (live calculator - edit the blue cells)</t>
  </si>
  <si>
    <t>Test Case ID</t>
  </si>
  <si>
    <t>Loan amount (Rs)</t>
  </si>
  <si>
    <t>Application: https://emicalculator.net/ | Counts update automatically from the "Test Cases" sheet (edit the Status column there).</t>
  </si>
  <si>
    <t>Test Type</t>
  </si>
  <si>
    <t>Title</t>
  </si>
  <si>
    <t>Steps / Input</t>
  </si>
  <si>
    <t>Expected Result</t>
  </si>
  <si>
    <t>Priority</t>
  </si>
  <si>
    <t>Execution Mode</t>
  </si>
  <si>
    <t>Automation File</t>
  </si>
  <si>
    <t>Actual Result</t>
  </si>
  <si>
    <t>Status</t>
  </si>
  <si>
    <t>Tester</t>
  </si>
  <si>
    <t>Date</t>
  </si>
  <si>
    <t>Defect ID / Notes</t>
  </si>
  <si>
    <t>Annual interest rate (%)</t>
  </si>
  <si>
    <t>FUN-01</t>
  </si>
  <si>
    <t>Tenure (years)</t>
  </si>
  <si>
    <t>Monthly rate r</t>
  </si>
  <si>
    <t>Total</t>
  </si>
  <si>
    <t>Functional</t>
  </si>
  <si>
    <t>Default values on load</t>
  </si>
  <si>
    <t>Open site</t>
  </si>
  <si>
    <t>Automated</t>
  </si>
  <si>
    <t>Amount 50,00,000; Rate 9; Tenure 20 Yr; EMI 44,986; Interest 57,96,711; Total 1,07,96,711</t>
  </si>
  <si>
    <t>Manual</t>
  </si>
  <si>
    <t>Pass</t>
  </si>
  <si>
    <t>Fail</t>
  </si>
  <si>
    <t>Blocked</t>
  </si>
  <si>
    <t>Not Run</t>
  </si>
  <si>
    <t>Pass %</t>
  </si>
  <si>
    <t>P0</t>
  </si>
  <si>
    <t>tests/ui/emi-calculation.spec.ts</t>
  </si>
  <si>
    <t>Months n</t>
  </si>
  <si>
    <t>FUN-02</t>
  </si>
  <si>
    <t>Amount slider updates text box and results</t>
  </si>
  <si>
    <t>Drag amount handle right</t>
  </si>
  <si>
    <t>Text box value increases; EMI increases</t>
  </si>
  <si>
    <t>EMI</t>
  </si>
  <si>
    <t>FUN-03</t>
  </si>
  <si>
    <t>Rate slider updates text box and results</t>
  </si>
  <si>
    <t>Drag rate handle</t>
  </si>
  <si>
    <t>Box value changes within 5-20; EMI changes</t>
  </si>
  <si>
    <t>FUN-04</t>
  </si>
  <si>
    <t>Tenure slider updates text box and results</t>
  </si>
  <si>
    <t>Drag tenure handle</t>
  </si>
  <si>
    <t>Box within 0-30; EMI changes</t>
  </si>
  <si>
    <t>FUN-05</t>
  </si>
  <si>
    <t>Text box updates slider position</t>
  </si>
  <si>
    <t>Type 1,00,00,000 in amount</t>
  </si>
  <si>
    <t>Handle moves to ~100L tick; results refresh</t>
  </si>
  <si>
    <t>P1</t>
  </si>
  <si>
    <t>FUN-06</t>
  </si>
  <si>
    <t>Typed values recalc on blur/Enter</t>
  </si>
  <si>
    <t>Type amount, press Tab / Enter</t>
  </si>
  <si>
    <t>Results refresh once</t>
  </si>
  <si>
    <t>Total payment</t>
  </si>
  <si>
    <t>FUN-07</t>
  </si>
  <si>
    <t>Yr -&gt; Mo toggle keeps loan equivalent</t>
  </si>
  <si>
    <t>Switch to Mo, type 240</t>
  </si>
  <si>
    <t>EMI identical to 20 Yr</t>
  </si>
  <si>
    <t>FUN-08</t>
  </si>
  <si>
    <t>Mo -&gt; Yr toggle conversion</t>
  </si>
  <si>
    <t>Total interest</t>
  </si>
  <si>
    <t>In Mo mode with 240, click Yr</t>
  </si>
  <si>
    <t>Box shows 20 (or equivalent), EMI unchanged</t>
  </si>
  <si>
    <t>FUN-09</t>
  </si>
  <si>
    <t>Slider keyboard control</t>
  </si>
  <si>
    <t>Focus handle, press Right x3</t>
  </si>
  <si>
    <t>Value increases per step</t>
  </si>
  <si>
    <t>FUN-10</t>
  </si>
  <si>
    <t>Interest share of total payment</t>
  </si>
  <si>
    <t>Tab switch Home/Personal/Car</t>
  </si>
  <si>
    <t>Click each tab</t>
  </si>
  <si>
    <t>Defaults of that loan type load; calc works</t>
  </si>
  <si>
    <t>P2</t>
  </si>
  <si>
    <t>FUN-11</t>
  </si>
  <si>
    <t>Reload resets state</t>
  </si>
  <si>
    <t>Change values, reload</t>
  </si>
  <si>
    <t>Defaults restored</t>
  </si>
  <si>
    <t>FUN-12</t>
  </si>
  <si>
    <t>Combined change of all three inputs</t>
  </si>
  <si>
    <t>Change all three, observe once</t>
  </si>
  <si>
    <t>One consistent final state (no stale mix)</t>
  </si>
  <si>
    <t>CAL-01</t>
  </si>
  <si>
    <t>Formula: EMI = P*r*(1+r)^n / ((1+r)^n - 1). Expected for defaults: EMI 44,986 | interest 57,96,711 | total 1,07,96,711 | split 46.3% / 53.7%.</t>
  </si>
  <si>
    <t>Calculation Accuracy</t>
  </si>
  <si>
    <t>Baseline</t>
  </si>
  <si>
    <t>P / rate / years = 50L / 9 / 20</t>
  </si>
  <si>
    <t>44,986</t>
  </si>
  <si>
    <t>Yellow cells are inputs (hardcoded by design). Rupee figures use plain thousands separators here; the site uses Indian grouping.</t>
  </si>
  <si>
    <t>CAL-02</t>
  </si>
  <si>
    <t>Mid-range slider scenario</t>
  </si>
  <si>
    <t>P / rate / years = 75L / 8.5 / 15</t>
  </si>
  <si>
    <t>formula</t>
  </si>
  <si>
    <t>CAL-03</t>
  </si>
  <si>
    <t>Large long loan</t>
  </si>
  <si>
    <t>P / rate / years = 1.5Cr / 11 / 30</t>
  </si>
  <si>
    <t>CAL-04</t>
  </si>
  <si>
    <t>Small short loan</t>
  </si>
  <si>
    <t>P / rate / years = 10L / 7 / 5</t>
  </si>
  <si>
    <t>CAL-05</t>
  </si>
  <si>
    <t>High rate</t>
  </si>
  <si>
    <t>P / rate / years = 50L / 18 / 10</t>
  </si>
  <si>
    <t>CAL-06</t>
  </si>
  <si>
    <t>Near upper bounds</t>
  </si>
  <si>
    <t>P / rate / years = 1.95Cr / 19.5 / 29</t>
  </si>
  <si>
    <t>CAL-07</t>
  </si>
  <si>
    <t>Near lower bounds</t>
  </si>
  <si>
    <t>P / rate / years = 5L / 5.5 / 1</t>
  </si>
  <si>
    <t>CAL-08</t>
  </si>
  <si>
    <t>Typed fractional rate</t>
  </si>
  <si>
    <t>P / rate / years = 25L / 6.75 / 12</t>
  </si>
  <si>
    <t>CAL-09</t>
  </si>
  <si>
    <t>Months mode odd tenure</t>
  </si>
  <si>
    <t>P / rate / years = 50L / 9 / 18 months</t>
  </si>
  <si>
    <t>CAL-10</t>
  </si>
  <si>
    <t>Total interest = EMI x n - P</t>
  </si>
  <si>
    <t>any</t>
  </si>
  <si>
    <t>within n x 0.5 + 1</t>
  </si>
  <si>
    <t>CAL-11</t>
  </si>
  <si>
    <t>Total payment = P + interest</t>
  </si>
  <si>
    <t>exact within 5</t>
  </si>
  <si>
    <t>CAL-12</t>
  </si>
  <si>
    <t>Monotonicity: rate up -&gt; EMI up</t>
  </si>
  <si>
    <t>P / rate / years = 9 -&gt; 10</t>
  </si>
  <si>
    <t>EMI increases</t>
  </si>
  <si>
    <t>tests/unit/emi-oracle.spec.ts</t>
  </si>
  <si>
    <t>CAL-13</t>
  </si>
  <si>
    <t>Monotonicity: tenure up -&gt; EMI down, total interest up</t>
  </si>
  <si>
    <t>P / rate / years = 20 -&gt; 25</t>
  </si>
  <si>
    <t>as stated</t>
  </si>
  <si>
    <t>CAL-14</t>
  </si>
  <si>
    <t>Monotonicity: amount up -&gt; EMI up (linear)</t>
  </si>
  <si>
    <t>P / rate / years = 50L -&gt; 100L</t>
  </si>
  <si>
    <t>EMI doubles +/-1</t>
  </si>
  <si>
    <t>CAL-15</t>
  </si>
  <si>
    <t>Zero interest edge</t>
  </si>
  <si>
    <t>P / rate / years = rate 0</t>
  </si>
  <si>
    <t>EMI = P/n (if accepted)</t>
  </si>
  <si>
    <t>CAL-16</t>
  </si>
  <si>
    <t>1-month tenure</t>
  </si>
  <si>
    <t>P / rate / years = n = 1</t>
  </si>
  <si>
    <t>EMI = P(1+r)</t>
  </si>
  <si>
    <t>CAL-17</t>
  </si>
  <si>
    <t>Oracle self-test vs spec screenshot</t>
  </si>
  <si>
    <t>-</t>
  </si>
  <si>
    <t>matches every printed figure</t>
  </si>
  <si>
    <t>CAL-18</t>
  </si>
  <si>
    <t>Pie split</t>
  </si>
  <si>
    <t>P / rate / years = 50L/9/20</t>
  </si>
  <si>
    <t>46.3 % principal, 53.7 % interest</t>
  </si>
  <si>
    <t>DAT-01</t>
  </si>
  <si>
    <t>Data Consistency</t>
  </si>
  <si>
    <t>Table row = formula, year by year (P, I, Total, Balance, Paid %)</t>
  </si>
  <si>
    <t>within tolerances (Plan section 8)</t>
  </si>
  <si>
    <t>tests/ui/schedule-and-chart.spec.ts</t>
  </si>
  <si>
    <t>DAT-02</t>
  </si>
  <si>
    <t>Principal + Interest = Total for every row</t>
  </si>
  <si>
    <t>+/- 2</t>
  </si>
  <si>
    <t>DAT-03</t>
  </si>
  <si>
    <t>Balance non-increasing; last balance = 0</t>
  </si>
  <si>
    <t>exact</t>
  </si>
  <si>
    <t>DAT-04</t>
  </si>
  <si>
    <t>Sum of yearly principal = loan amount</t>
  </si>
  <si>
    <t>+/- 1.5 x rows</t>
  </si>
  <si>
    <t>DAT-05</t>
  </si>
  <si>
    <t>Loan Paid % last row = 100.00 % and rises monotonically</t>
  </si>
  <si>
    <t>DAT-06</t>
  </si>
  <si>
    <t>First/last year are partial (11 and 1 instalments in sample)</t>
  </si>
  <si>
    <t>derived from UI</t>
  </si>
  <si>
    <t>DAT-07</t>
  </si>
  <si>
    <t>Bar chart principal/interest/balance = table, per year</t>
  </si>
  <si>
    <t>+/- 1</t>
  </si>
  <si>
    <t>DAT-08</t>
  </si>
  <si>
    <t>Chart has one point per table row</t>
  </si>
  <si>
    <t>equal counts</t>
  </si>
  <si>
    <t>DAT-09</t>
  </si>
  <si>
    <t>Chart/table refresh after input change (no stale data)</t>
  </si>
  <si>
    <t>updated</t>
  </si>
  <si>
    <t>DAT-10</t>
  </si>
  <si>
    <t>Pie % = interest/total and principal/total, sum 100</t>
  </si>
  <si>
    <t>+/- 0.5</t>
  </si>
  <si>
    <t>DAT-11</t>
  </si>
  <si>
    <t>Cards vs table: total interest = sum yearly interest</t>
  </si>
  <si>
    <t>+/- rows</t>
  </si>
  <si>
    <t>DAT-12</t>
  </si>
  <si>
    <t>Expand a year (the + icon) -&gt; months sum to the year row</t>
  </si>
  <si>
    <t>exact +/- 1</t>
  </si>
  <si>
    <t>DAT-13</t>
  </si>
  <si>
    <t>Excel downloads, valid .xlsx, non-empty</t>
  </si>
  <si>
    <t>PK header, size &gt; 2 KB</t>
  </si>
  <si>
    <t>tests/ui/excel-download.spec.ts</t>
  </si>
  <si>
    <t>DAT-14</t>
  </si>
  <si>
    <t>Excel sum(principal) = loan amount</t>
  </si>
  <si>
    <t>DAT-15</t>
  </si>
  <si>
    <t>Excel sum(interest) = UI total interest and formula</t>
  </si>
  <si>
    <t>DAT-16</t>
  </si>
  <si>
    <t>Excel closing balance = 0, balance never increases</t>
  </si>
  <si>
    <t>yes</t>
  </si>
  <si>
    <t>Boundary</t>
  </si>
  <si>
    <t>DAT-17</t>
  </si>
  <si>
    <t>Excel monthly rows: P + I = EMI (if monthly layout)</t>
  </si>
  <si>
    <t>DAT-18</t>
  </si>
  <si>
    <t>Excel rows equal UI table (if yearly layout)</t>
  </si>
  <si>
    <t>DAT-19</t>
  </si>
  <si>
    <t>Excel reflects *changed* inputs, not defaults</t>
  </si>
  <si>
    <t>values differ from baseline</t>
  </si>
  <si>
    <t>DAT-20</t>
  </si>
  <si>
    <t>Number formatting in Excel (currency, no text-numbers)</t>
  </si>
  <si>
    <t>cells numeric</t>
  </si>
  <si>
    <t>BVA-01</t>
  </si>
  <si>
    <t>Amount = 0</t>
  </si>
  <si>
    <t>Set Amount to 0</t>
  </si>
  <si>
    <t>No crash; no NaN; sensible message or zero EMI</t>
  </si>
  <si>
    <t>tests/ui/emi-calculation.spec.ts (@negative)</t>
  </si>
  <si>
    <t>BVA-02</t>
  </si>
  <si>
    <t>Amount = 1</t>
  </si>
  <si>
    <t>Set Amount to 1</t>
  </si>
  <si>
    <t>Handled</t>
  </si>
  <si>
    <t>BVA-03</t>
  </si>
  <si>
    <t>Amount = 2,00,00,000 (max)</t>
  </si>
  <si>
    <t>Set Amount to 2,00,00,000 (max)</t>
  </si>
  <si>
    <t>Exact formula EMI</t>
  </si>
  <si>
    <t>BVA-04</t>
  </si>
  <si>
    <t>Amount = 2,00,00,001 (max+1)</t>
  </si>
  <si>
    <t>Set Amount to 2,00,00,001 (max+1)</t>
  </si>
  <si>
    <t>Clamped or rejected, not silently wrong</t>
  </si>
  <si>
    <t>BVA-05</t>
  </si>
  <si>
    <t>Rate = 5 (min)</t>
  </si>
  <si>
    <t>Set Rate to 5 (min)</t>
  </si>
  <si>
    <t>Formula</t>
  </si>
  <si>
    <t>BVA-06</t>
  </si>
  <si>
    <t>Rate = 20 (max)</t>
  </si>
  <si>
    <t>Set Rate to 20 (max)</t>
  </si>
  <si>
    <t>BVA-07</t>
  </si>
  <si>
    <t>Rate = 4.99 / 20.01</t>
  </si>
  <si>
    <t>Set Rate to 4.99 / 20.01</t>
  </si>
  <si>
    <t>Clamp/reject</t>
  </si>
  <si>
    <t>BVA-08</t>
  </si>
  <si>
    <t>Rate = 0</t>
  </si>
  <si>
    <t>Set Rate to 0</t>
  </si>
  <si>
    <t>No NaN / div-by-zero</t>
  </si>
  <si>
    <t>BVA-09</t>
  </si>
  <si>
    <t>Tenure = 0</t>
  </si>
  <si>
    <t>Set Tenure to 0</t>
  </si>
  <si>
    <t>No Infinity</t>
  </si>
  <si>
    <t>BVA-10</t>
  </si>
  <si>
    <t>Tenure = 1 month</t>
  </si>
  <si>
    <t>Set Tenure to 1 month</t>
  </si>
  <si>
    <t>BVA-11</t>
  </si>
  <si>
    <t>Tenure = 30 years (max) / 360 months</t>
  </si>
  <si>
    <t>Set Tenure to 30 years (max) / 360 months</t>
  </si>
  <si>
    <t>Formula, 31 table rows</t>
  </si>
  <si>
    <t>BVA-12</t>
  </si>
  <si>
    <t>Tenure = 31 years / 361 months</t>
  </si>
  <si>
    <t>Set Tenure to 31 years / 361 months</t>
  </si>
  <si>
    <t>NEG-01</t>
  </si>
  <si>
    <t>Negative / Validation</t>
  </si>
  <si>
    <t>Input: Letters in amount ("abcd")</t>
  </si>
  <si>
    <t>Enter Letters in amount ("abcd")</t>
  </si>
  <si>
    <t>No NaN; value rejected or reverted</t>
  </si>
  <si>
    <t>NEG-02</t>
  </si>
  <si>
    <t>Input: Negative amount</t>
  </si>
  <si>
    <t>Enter Negative amount</t>
  </si>
  <si>
    <t>Rejected / not negative output</t>
  </si>
  <si>
    <t>NEG-03</t>
  </si>
  <si>
    <t>Input: Huge amount (999999999999)</t>
  </si>
  <si>
    <t>Enter Huge amount (999999999999)</t>
  </si>
  <si>
    <t>No overflow, no broken layout</t>
  </si>
  <si>
    <t>NEG-04</t>
  </si>
  <si>
    <t>Input: Negative rate</t>
  </si>
  <si>
    <t>Enter Negative rate</t>
  </si>
  <si>
    <t>Rejected</t>
  </si>
  <si>
    <t>NEG-05</t>
  </si>
  <si>
    <t>Input: Rate 99</t>
  </si>
  <si>
    <t>Enter Rate 99</t>
  </si>
  <si>
    <t>Clamped / rejected</t>
  </si>
  <si>
    <t>NEG-06</t>
  </si>
  <si>
    <t>Input: Many decimals in rate (9.999999)</t>
  </si>
  <si>
    <t>Enter Many decimals in rate (9.999999)</t>
  </si>
  <si>
    <t>Handled, display formatted</t>
  </si>
  <si>
    <t>NEG-07</t>
  </si>
  <si>
    <t>Input: Negative / &gt; max tenure</t>
  </si>
  <si>
    <t>Enter Negative / &gt; max tenure</t>
  </si>
  <si>
    <t>NEG-08</t>
  </si>
  <si>
    <t>Input: Empty field then blur</t>
  </si>
  <si>
    <t>Enter Empty field then blur</t>
  </si>
  <si>
    <t>No NaN; restore last valid</t>
  </si>
  <si>
    <t>NEG-09</t>
  </si>
  <si>
    <t>Input: Paste "50,00,000" / "5000000.50" / " 5000000 "</t>
  </si>
  <si>
    <t>Enter Paste "50,00,000" / "5000000.50" / " 5000000 "</t>
  </si>
  <si>
    <t>Parsed or rejected cleanly</t>
  </si>
  <si>
    <t>NEG-10</t>
  </si>
  <si>
    <t>Input: Special chars / emoji / script tag</t>
  </si>
  <si>
    <t>Enter Special chars / emoji / script tag</t>
  </si>
  <si>
    <t>No XSS, no JS error</t>
  </si>
  <si>
    <t>NEG-11</t>
  </si>
  <si>
    <t>Input: Rapid repeated input (type 20 changes quickly)</t>
  </si>
  <si>
    <t>Enter Rapid repeated input (type 20 changes quickly)</t>
  </si>
  <si>
    <t>Final state consistent</t>
  </si>
  <si>
    <t>NEG-12</t>
  </si>
  <si>
    <t>Input: Leading zeros "0005000000"</t>
  </si>
  <si>
    <t>Enter Leading zeros "0005000000"</t>
  </si>
  <si>
    <t>Interpreted as 5,000,000</t>
  </si>
  <si>
    <t>UI-01</t>
  </si>
  <si>
    <t>UI / UX</t>
  </si>
  <si>
    <t>Indian digit grouping (xx,xx,xxx) on all rupee values</t>
  </si>
  <si>
    <t>consistent</t>
  </si>
  <si>
    <t>UI-02</t>
  </si>
  <si>
    <t>Rupee symbol present on cards, chart axes, table</t>
  </si>
  <si>
    <t>present</t>
  </si>
  <si>
    <t>UI-03</t>
  </si>
  <si>
    <t>Slider tick labels (0, 25L ... 200L) correct</t>
  </si>
  <si>
    <t>match range</t>
  </si>
  <si>
    <t>UI-04</t>
  </si>
  <si>
    <t>Handle position reflects value</t>
  </si>
  <si>
    <t>within one tick</t>
  </si>
  <si>
    <t>UI-05</t>
  </si>
  <si>
    <t>Chart legend/tooltip content correct</t>
  </si>
  <si>
    <t>per-year values match table</t>
  </si>
  <si>
    <t>UI-06</t>
  </si>
  <si>
    <t>Table header colours/labels (Principal (A), Interest (B), A+B)</t>
  </si>
  <si>
    <t>match spec</t>
  </si>
  <si>
    <t>UI-07</t>
  </si>
  <si>
    <t>No text overflow with max values (Rs 2Cr, 30y)</t>
  </si>
  <si>
    <t>none</t>
  </si>
  <si>
    <t>UI-08</t>
  </si>
  <si>
    <t>Hover on pie slice shows value</t>
  </si>
  <si>
    <t>shown</t>
  </si>
  <si>
    <t>P3</t>
  </si>
  <si>
    <t>CMP-01</t>
  </si>
  <si>
    <t>Compatibility</t>
  </si>
  <si>
    <t>Chrome desktop smoke</t>
  </si>
  <si>
    <t>pass</t>
  </si>
  <si>
    <t>playwright.config.ts projects</t>
  </si>
  <si>
    <t>CMP-02</t>
  </si>
  <si>
    <t>Firefox desktop smoke</t>
  </si>
  <si>
    <t>CMP-03</t>
  </si>
  <si>
    <t>Mobile Chrome (Pixel 7) smoke</t>
  </si>
  <si>
    <t>CMP-04</t>
  </si>
  <si>
    <t>Safari macOS / iOS smoke</t>
  </si>
  <si>
    <t>CMP-05</t>
  </si>
  <si>
    <t>Edge smoke</t>
  </si>
  <si>
    <t>CMP-06</t>
  </si>
  <si>
    <t>320 px width, landscape rotation</t>
  </si>
  <si>
    <t>no horizontal clipping; sliders draggable by touch</t>
  </si>
  <si>
    <t>CMP-07</t>
  </si>
  <si>
    <t>200 % browser zoom</t>
  </si>
  <si>
    <t>usable</t>
  </si>
  <si>
    <t>ACC-01</t>
  </si>
  <si>
    <t>Accessibility</t>
  </si>
  <si>
    <t>Sliders operable by keyboard</t>
  </si>
  <si>
    <t>arrows/Home/End change value</t>
  </si>
  <si>
    <t>ACC-02</t>
  </si>
  <si>
    <t>Tab order logical; visible focus</t>
  </si>
  <si>
    <t>ACC-03</t>
  </si>
  <si>
    <t>Inputs have labels / accessible names</t>
  </si>
  <si>
    <t>ACC-04</t>
  </si>
  <si>
    <t>Colour contrast of orange on white (table/legend)</t>
  </si>
  <si>
    <t>&gt;= 4.5:1 for text</t>
  </si>
  <si>
    <t>ACC-05</t>
  </si>
  <si>
    <t>Chart has text alternative or table equivalent</t>
  </si>
  <si>
    <t>table exists</t>
  </si>
  <si>
    <t>PRF-01</t>
  </si>
  <si>
    <t>Performance</t>
  </si>
  <si>
    <t>First meaningful render of EMI</t>
  </si>
  <si>
    <t>&lt; 3 s on broadband</t>
  </si>
  <si>
    <t>PRF-02</t>
  </si>
  <si>
    <t>Recalc latency while dragging</t>
  </si>
  <si>
    <t>&lt; 200 ms, no jank</t>
  </si>
  <si>
    <t>PRF-03</t>
  </si>
  <si>
    <t>Re-render at 360-row month expansion</t>
  </si>
  <si>
    <t>&lt; 1 s</t>
  </si>
  <si>
    <t>SEC-01</t>
  </si>
  <si>
    <t>Security</t>
  </si>
  <si>
    <t>XSS payload in inputs not executed</t>
  </si>
  <si>
    <t>no alert, escaped</t>
  </si>
  <si>
    <t>SEC-02</t>
  </si>
  <si>
    <t>HTTPS enforced, no mixed content</t>
  </si>
  <si>
    <t>SEC-03</t>
  </si>
  <si>
    <t>Excel has no formula-injection / macros</t>
  </si>
  <si>
    <t>static values</t>
  </si>
  <si>
    <t>TOTAL</t>
  </si>
  <si>
    <t>By Priority</t>
  </si>
  <si>
    <t>How to use</t>
  </si>
  <si>
    <t>1. Go to the "Test Cases" sheet and set Status (dropdown) after each execution; fill Actual Result, Tester, Date.</t>
  </si>
  <si>
    <t>2. Raise a defect using docs/03_BUG_REPORTS template and put its ID in "Defect ID / Notes".</t>
  </si>
  <si>
    <t>3. Execution Mode: "Automated" cases map to the Playwright file in the "Automation File" column; "Manual" cases are run by hand.</t>
  </si>
  <si>
    <t>4. Priority: P0 critical, P1 high, P2 medium, P3 low.</t>
  </si>
  <si>
    <t>Baseline for expected values unless stated: Rs 50,00,000 / 9 % / 20 years -&gt; EMI 44,986 (see Test Plan section 8 for tolerances).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</si>
</sst>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%"/>
  </numFmts>
  <fonts count="9">
    <font>
      <sz val="11.0"/>
      <color theme="1"/>
      <name val="Calibri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i/>
      <sz val="9.0"/>
      <color theme="1"/>
      <name val="Arial"/>
    </font>
    <font>
      <sz val="10.0"/>
      <color rgb="FF0000FF"/>
      <name val="Arial"/>
    </font>
    <font>
      <b/>
      <sz val="10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D9E1F2"/>
        <bgColor rgb="FFD9E1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3" fontId="6" numFmtId="3" xfId="0" applyAlignment="1" applyBorder="1" applyFill="1" applyFont="1" applyNumberFormat="1">
      <alignment shrinkToFit="0" vertical="bottom" wrapText="0"/>
    </xf>
    <xf borderId="3" fillId="2" fontId="4" numFmtId="0" xfId="0" applyAlignment="1" applyBorder="1" applyFill="1" applyFont="1">
      <alignment horizontal="center"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top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3" fillId="0" fontId="3" numFmtId="165" xfId="0" applyAlignment="1" applyBorder="1" applyFont="1" applyNumberFormat="1">
      <alignment horizontal="center" shrinkToFit="0" vertical="bottom" wrapText="0"/>
    </xf>
    <xf borderId="3" fillId="4" fontId="7" numFmtId="0" xfId="0" applyAlignment="1" applyBorder="1" applyFill="1" applyFont="1">
      <alignment shrinkToFit="0" vertical="bottom" wrapText="0"/>
    </xf>
    <xf borderId="3" fillId="4" fontId="7" numFmtId="0" xfId="0" applyAlignment="1" applyBorder="1" applyFill="1" applyFont="1">
      <alignment horizontal="center" shrinkToFit="0" vertical="bottom" wrapText="0"/>
    </xf>
    <xf borderId="3" fillId="4" fontId="7" numFmtId="165" xfId="0" applyAlignment="1" applyBorder="1" applyFill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9" width="12.0"/>
    <col customWidth="1" min="10" max="26" width="8.71"/>
  </cols>
  <sheetData>
    <row r="1">
      <c r="A1" s="1" t="s">
        <v>0</v>
      </c>
    </row>
    <row r="2">
      <c r="A2" s="5" t="s">
        <v>4</v>
      </c>
    </row>
    <row r="4">
      <c r="A4" s="7" t="s">
        <v>5</v>
      </c>
      <c r="B4" s="7" t="s">
        <v>21</v>
      </c>
      <c r="C4" s="7" t="s">
        <v>25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</row>
    <row r="5">
      <c r="A5" s="10" t="s">
        <v>22</v>
      </c>
      <c r="B5" s="14">
        <f>COUNTIF('Test Cases'!$B$2:$B$101,A5)</f>
        <v>12</v>
      </c>
      <c r="C5" s="14">
        <f>COUNTIFS('Test Cases'!$B$2:$B$101,A5,'Test Cases'!$G$2:$G$101,"Automated")</f>
        <v>8</v>
      </c>
      <c r="D5" s="14">
        <f>COUNTIFS('Test Cases'!$B$2:$B$101,A5,'Test Cases'!$G$2:$G$101,"Manual")</f>
        <v>4</v>
      </c>
      <c r="E5" s="14">
        <f>COUNTIFS('Test Cases'!$B$2:$B$101,$A5,'Test Cases'!$J$2:$J$101,"Pass")</f>
        <v>0</v>
      </c>
      <c r="F5" s="14">
        <f>COUNTIFS('Test Cases'!$B$2:$B$101,$A5,'Test Cases'!$J$2:$J$101,"Fail")</f>
        <v>0</v>
      </c>
      <c r="G5" s="14">
        <f>COUNTIFS('Test Cases'!$B$2:$B$101,$A5,'Test Cases'!$J$2:$J$101,"Blocked")</f>
        <v>0</v>
      </c>
      <c r="H5" s="14">
        <f>COUNTIFS('Test Cases'!$B$2:$B$101,$A5,'Test Cases'!$J$2:$J$101,"Not Run")</f>
        <v>12</v>
      </c>
      <c r="I5" s="17">
        <f t="shared" ref="I5:I15" si="1">IF(B5=0,0,E5/B5)</f>
        <v>0</v>
      </c>
    </row>
    <row r="6">
      <c r="A6" s="10" t="s">
        <v>88</v>
      </c>
      <c r="B6" s="14">
        <f>COUNTIF('Test Cases'!$B$2:$B$101,A6)</f>
        <v>18</v>
      </c>
      <c r="C6" s="14">
        <f>COUNTIFS('Test Cases'!$B$2:$B$101,A6,'Test Cases'!$G$2:$G$101,"Automated")</f>
        <v>15</v>
      </c>
      <c r="D6" s="14">
        <f>COUNTIFS('Test Cases'!$B$2:$B$101,A6,'Test Cases'!$G$2:$G$101,"Manual")</f>
        <v>3</v>
      </c>
      <c r="E6" s="14">
        <f>COUNTIFS('Test Cases'!$B$2:$B$101,$A6,'Test Cases'!$J$2:$J$101,"Pass")</f>
        <v>0</v>
      </c>
      <c r="F6" s="14">
        <f>COUNTIFS('Test Cases'!$B$2:$B$101,$A6,'Test Cases'!$J$2:$J$101,"Fail")</f>
        <v>0</v>
      </c>
      <c r="G6" s="14">
        <f>COUNTIFS('Test Cases'!$B$2:$B$101,$A6,'Test Cases'!$J$2:$J$101,"Blocked")</f>
        <v>0</v>
      </c>
      <c r="H6" s="14">
        <f>COUNTIFS('Test Cases'!$B$2:$B$101,$A6,'Test Cases'!$J$2:$J$101,"Not Run")</f>
        <v>18</v>
      </c>
      <c r="I6" s="17">
        <f t="shared" si="1"/>
        <v>0</v>
      </c>
    </row>
    <row r="7">
      <c r="A7" s="10" t="s">
        <v>155</v>
      </c>
      <c r="B7" s="14">
        <f>COUNTIF('Test Cases'!$B$2:$B$101,A7)</f>
        <v>20</v>
      </c>
      <c r="C7" s="14">
        <f>COUNTIFS('Test Cases'!$B$2:$B$101,A7,'Test Cases'!$G$2:$G$101,"Automated")</f>
        <v>17</v>
      </c>
      <c r="D7" s="14">
        <f>COUNTIFS('Test Cases'!$B$2:$B$101,A7,'Test Cases'!$G$2:$G$101,"Manual")</f>
        <v>3</v>
      </c>
      <c r="E7" s="14">
        <f>COUNTIFS('Test Cases'!$B$2:$B$101,$A7,'Test Cases'!$J$2:$J$101,"Pass")</f>
        <v>0</v>
      </c>
      <c r="F7" s="14">
        <f>COUNTIFS('Test Cases'!$B$2:$B$101,$A7,'Test Cases'!$J$2:$J$101,"Fail")</f>
        <v>0</v>
      </c>
      <c r="G7" s="14">
        <f>COUNTIFS('Test Cases'!$B$2:$B$101,$A7,'Test Cases'!$J$2:$J$101,"Blocked")</f>
        <v>0</v>
      </c>
      <c r="H7" s="14">
        <f>COUNTIFS('Test Cases'!$B$2:$B$101,$A7,'Test Cases'!$J$2:$J$101,"Not Run")</f>
        <v>20</v>
      </c>
      <c r="I7" s="17">
        <f t="shared" si="1"/>
        <v>0</v>
      </c>
    </row>
    <row r="8">
      <c r="A8" s="10" t="s">
        <v>202</v>
      </c>
      <c r="B8" s="14">
        <f>COUNTIF('Test Cases'!$B$2:$B$101,A8)</f>
        <v>12</v>
      </c>
      <c r="C8" s="14">
        <f>COUNTIFS('Test Cases'!$B$2:$B$101,A8,'Test Cases'!$G$2:$G$101,"Automated")</f>
        <v>4</v>
      </c>
      <c r="D8" s="14">
        <f>COUNTIFS('Test Cases'!$B$2:$B$101,A8,'Test Cases'!$G$2:$G$101,"Manual")</f>
        <v>8</v>
      </c>
      <c r="E8" s="14">
        <f>COUNTIFS('Test Cases'!$B$2:$B$101,$A8,'Test Cases'!$J$2:$J$101,"Pass")</f>
        <v>0</v>
      </c>
      <c r="F8" s="14">
        <f>COUNTIFS('Test Cases'!$B$2:$B$101,$A8,'Test Cases'!$J$2:$J$101,"Fail")</f>
        <v>0</v>
      </c>
      <c r="G8" s="14">
        <f>COUNTIFS('Test Cases'!$B$2:$B$101,$A8,'Test Cases'!$J$2:$J$101,"Blocked")</f>
        <v>0</v>
      </c>
      <c r="H8" s="14">
        <f>COUNTIFS('Test Cases'!$B$2:$B$101,$A8,'Test Cases'!$J$2:$J$101,"Not Run")</f>
        <v>12</v>
      </c>
      <c r="I8" s="17">
        <f t="shared" si="1"/>
        <v>0</v>
      </c>
    </row>
    <row r="9">
      <c r="A9" s="10" t="s">
        <v>260</v>
      </c>
      <c r="B9" s="14">
        <f>COUNTIF('Test Cases'!$B$2:$B$101,A9)</f>
        <v>12</v>
      </c>
      <c r="C9" s="14">
        <f>COUNTIFS('Test Cases'!$B$2:$B$101,A9,'Test Cases'!$G$2:$G$101,"Automated")</f>
        <v>7</v>
      </c>
      <c r="D9" s="14">
        <f>COUNTIFS('Test Cases'!$B$2:$B$101,A9,'Test Cases'!$G$2:$G$101,"Manual")</f>
        <v>5</v>
      </c>
      <c r="E9" s="14">
        <f>COUNTIFS('Test Cases'!$B$2:$B$101,$A9,'Test Cases'!$J$2:$J$101,"Pass")</f>
        <v>0</v>
      </c>
      <c r="F9" s="14">
        <f>COUNTIFS('Test Cases'!$B$2:$B$101,$A9,'Test Cases'!$J$2:$J$101,"Fail")</f>
        <v>0</v>
      </c>
      <c r="G9" s="14">
        <f>COUNTIFS('Test Cases'!$B$2:$B$101,$A9,'Test Cases'!$J$2:$J$101,"Blocked")</f>
        <v>0</v>
      </c>
      <c r="H9" s="14">
        <f>COUNTIFS('Test Cases'!$B$2:$B$101,$A9,'Test Cases'!$J$2:$J$101,"Not Run")</f>
        <v>12</v>
      </c>
      <c r="I9" s="17">
        <f t="shared" si="1"/>
        <v>0</v>
      </c>
    </row>
    <row r="10">
      <c r="A10" s="10" t="s">
        <v>308</v>
      </c>
      <c r="B10" s="14">
        <f>COUNTIF('Test Cases'!$B$2:$B$101,A10)</f>
        <v>8</v>
      </c>
      <c r="C10" s="14">
        <f>COUNTIFS('Test Cases'!$B$2:$B$101,A10,'Test Cases'!$G$2:$G$101,"Automated")</f>
        <v>0</v>
      </c>
      <c r="D10" s="14">
        <f>COUNTIFS('Test Cases'!$B$2:$B$101,A10,'Test Cases'!$G$2:$G$101,"Manual")</f>
        <v>8</v>
      </c>
      <c r="E10" s="14">
        <f>COUNTIFS('Test Cases'!$B$2:$B$101,$A10,'Test Cases'!$J$2:$J$101,"Pass")</f>
        <v>0</v>
      </c>
      <c r="F10" s="14">
        <f>COUNTIFS('Test Cases'!$B$2:$B$101,$A10,'Test Cases'!$J$2:$J$101,"Fail")</f>
        <v>0</v>
      </c>
      <c r="G10" s="14">
        <f>COUNTIFS('Test Cases'!$B$2:$B$101,$A10,'Test Cases'!$J$2:$J$101,"Blocked")</f>
        <v>0</v>
      </c>
      <c r="H10" s="14">
        <f>COUNTIFS('Test Cases'!$B$2:$B$101,$A10,'Test Cases'!$J$2:$J$101,"Not Run")</f>
        <v>8</v>
      </c>
      <c r="I10" s="17">
        <f t="shared" si="1"/>
        <v>0</v>
      </c>
    </row>
    <row r="11">
      <c r="A11" s="10" t="s">
        <v>334</v>
      </c>
      <c r="B11" s="14">
        <f>COUNTIF('Test Cases'!$B$2:$B$101,A11)</f>
        <v>7</v>
      </c>
      <c r="C11" s="14">
        <f>COUNTIFS('Test Cases'!$B$2:$B$101,A11,'Test Cases'!$G$2:$G$101,"Automated")</f>
        <v>3</v>
      </c>
      <c r="D11" s="14">
        <f>COUNTIFS('Test Cases'!$B$2:$B$101,A11,'Test Cases'!$G$2:$G$101,"Manual")</f>
        <v>4</v>
      </c>
      <c r="E11" s="14">
        <f>COUNTIFS('Test Cases'!$B$2:$B$101,$A11,'Test Cases'!$J$2:$J$101,"Pass")</f>
        <v>0</v>
      </c>
      <c r="F11" s="14">
        <f>COUNTIFS('Test Cases'!$B$2:$B$101,$A11,'Test Cases'!$J$2:$J$101,"Fail")</f>
        <v>0</v>
      </c>
      <c r="G11" s="14">
        <f>COUNTIFS('Test Cases'!$B$2:$B$101,$A11,'Test Cases'!$J$2:$J$101,"Blocked")</f>
        <v>0</v>
      </c>
      <c r="H11" s="14">
        <f>COUNTIFS('Test Cases'!$B$2:$B$101,$A11,'Test Cases'!$J$2:$J$101,"Not Run")</f>
        <v>7</v>
      </c>
      <c r="I11" s="17">
        <f t="shared" si="1"/>
        <v>0</v>
      </c>
    </row>
    <row r="12">
      <c r="A12" s="10" t="s">
        <v>353</v>
      </c>
      <c r="B12" s="14">
        <f>COUNTIF('Test Cases'!$B$2:$B$101,A12)</f>
        <v>5</v>
      </c>
      <c r="C12" s="14">
        <f>COUNTIFS('Test Cases'!$B$2:$B$101,A12,'Test Cases'!$G$2:$G$101,"Automated")</f>
        <v>1</v>
      </c>
      <c r="D12" s="14">
        <f>COUNTIFS('Test Cases'!$B$2:$B$101,A12,'Test Cases'!$G$2:$G$101,"Manual")</f>
        <v>4</v>
      </c>
      <c r="E12" s="14">
        <f>COUNTIFS('Test Cases'!$B$2:$B$101,$A12,'Test Cases'!$J$2:$J$101,"Pass")</f>
        <v>0</v>
      </c>
      <c r="F12" s="14">
        <f>COUNTIFS('Test Cases'!$B$2:$B$101,$A12,'Test Cases'!$J$2:$J$101,"Fail")</f>
        <v>0</v>
      </c>
      <c r="G12" s="14">
        <f>COUNTIFS('Test Cases'!$B$2:$B$101,$A12,'Test Cases'!$J$2:$J$101,"Blocked")</f>
        <v>0</v>
      </c>
      <c r="H12" s="14">
        <f>COUNTIFS('Test Cases'!$B$2:$B$101,$A12,'Test Cases'!$J$2:$J$101,"Not Run")</f>
        <v>5</v>
      </c>
      <c r="I12" s="17">
        <f t="shared" si="1"/>
        <v>0</v>
      </c>
    </row>
    <row r="13">
      <c r="A13" s="10" t="s">
        <v>367</v>
      </c>
      <c r="B13" s="14">
        <f>COUNTIF('Test Cases'!$B$2:$B$101,A13)</f>
        <v>3</v>
      </c>
      <c r="C13" s="14">
        <f>COUNTIFS('Test Cases'!$B$2:$B$101,A13,'Test Cases'!$G$2:$G$101,"Automated")</f>
        <v>0</v>
      </c>
      <c r="D13" s="14">
        <f>COUNTIFS('Test Cases'!$B$2:$B$101,A13,'Test Cases'!$G$2:$G$101,"Manual")</f>
        <v>3</v>
      </c>
      <c r="E13" s="14">
        <f>COUNTIFS('Test Cases'!$B$2:$B$101,$A13,'Test Cases'!$J$2:$J$101,"Pass")</f>
        <v>0</v>
      </c>
      <c r="F13" s="14">
        <f>COUNTIFS('Test Cases'!$B$2:$B$101,$A13,'Test Cases'!$J$2:$J$101,"Fail")</f>
        <v>0</v>
      </c>
      <c r="G13" s="14">
        <f>COUNTIFS('Test Cases'!$B$2:$B$101,$A13,'Test Cases'!$J$2:$J$101,"Blocked")</f>
        <v>0</v>
      </c>
      <c r="H13" s="14">
        <f>COUNTIFS('Test Cases'!$B$2:$B$101,$A13,'Test Cases'!$J$2:$J$101,"Not Run")</f>
        <v>3</v>
      </c>
      <c r="I13" s="17">
        <f t="shared" si="1"/>
        <v>0</v>
      </c>
    </row>
    <row r="14">
      <c r="A14" s="10" t="s">
        <v>377</v>
      </c>
      <c r="B14" s="14">
        <f>COUNTIF('Test Cases'!$B$2:$B$101,A14)</f>
        <v>3</v>
      </c>
      <c r="C14" s="14">
        <f>COUNTIFS('Test Cases'!$B$2:$B$101,A14,'Test Cases'!$G$2:$G$101,"Automated")</f>
        <v>0</v>
      </c>
      <c r="D14" s="14">
        <f>COUNTIFS('Test Cases'!$B$2:$B$101,A14,'Test Cases'!$G$2:$G$101,"Manual")</f>
        <v>3</v>
      </c>
      <c r="E14" s="14">
        <f>COUNTIFS('Test Cases'!$B$2:$B$101,$A14,'Test Cases'!$J$2:$J$101,"Pass")</f>
        <v>0</v>
      </c>
      <c r="F14" s="14">
        <f>COUNTIFS('Test Cases'!$B$2:$B$101,$A14,'Test Cases'!$J$2:$J$101,"Fail")</f>
        <v>0</v>
      </c>
      <c r="G14" s="14">
        <f>COUNTIFS('Test Cases'!$B$2:$B$101,$A14,'Test Cases'!$J$2:$J$101,"Blocked")</f>
        <v>0</v>
      </c>
      <c r="H14" s="14">
        <f>COUNTIFS('Test Cases'!$B$2:$B$101,$A14,'Test Cases'!$J$2:$J$101,"Not Run")</f>
        <v>3</v>
      </c>
      <c r="I14" s="17">
        <f t="shared" si="1"/>
        <v>0</v>
      </c>
    </row>
    <row r="15">
      <c r="A15" s="18" t="s">
        <v>385</v>
      </c>
      <c r="B15" s="19">
        <f t="shared" ref="B15:H15" si="2">SUM(B5:B14)</f>
        <v>100</v>
      </c>
      <c r="C15" s="19">
        <f t="shared" si="2"/>
        <v>55</v>
      </c>
      <c r="D15" s="19">
        <f t="shared" si="2"/>
        <v>45</v>
      </c>
      <c r="E15" s="19">
        <f t="shared" si="2"/>
        <v>0</v>
      </c>
      <c r="F15" s="19">
        <f t="shared" si="2"/>
        <v>0</v>
      </c>
      <c r="G15" s="19">
        <f t="shared" si="2"/>
        <v>0</v>
      </c>
      <c r="H15" s="19">
        <f t="shared" si="2"/>
        <v>100</v>
      </c>
      <c r="I15" s="20">
        <f t="shared" si="1"/>
        <v>0</v>
      </c>
    </row>
    <row r="18">
      <c r="A18" s="21" t="s">
        <v>386</v>
      </c>
    </row>
    <row r="19">
      <c r="A19" s="7" t="s">
        <v>9</v>
      </c>
      <c r="B19" s="7" t="s">
        <v>21</v>
      </c>
      <c r="C19" s="7" t="s">
        <v>28</v>
      </c>
      <c r="D19" s="7" t="s">
        <v>29</v>
      </c>
      <c r="E19" s="7" t="s">
        <v>31</v>
      </c>
    </row>
    <row r="20">
      <c r="A20" s="10" t="s">
        <v>33</v>
      </c>
      <c r="B20" s="14">
        <f>COUNTIF('Test Cases'!$F$2:$F$101,A20)</f>
        <v>35</v>
      </c>
      <c r="C20" s="14">
        <f>COUNTIFS('Test Cases'!$F$2:$F$101,$A20,'Test Cases'!$J$2:$J$101,"Pass")</f>
        <v>0</v>
      </c>
      <c r="D20" s="14">
        <f>COUNTIFS('Test Cases'!$F$2:$F$101,$A20,'Test Cases'!$J$2:$J$101,"Fail")</f>
        <v>0</v>
      </c>
      <c r="E20" s="14">
        <f>COUNTIFS('Test Cases'!$F$2:$F$101,$A20,'Test Cases'!$J$2:$J$101,"Not Run")</f>
        <v>35</v>
      </c>
    </row>
    <row r="21" ht="15.75" customHeight="1">
      <c r="A21" s="10" t="s">
        <v>53</v>
      </c>
      <c r="B21" s="14">
        <f>COUNTIF('Test Cases'!$F$2:$F$101,A21)</f>
        <v>42</v>
      </c>
      <c r="C21" s="14">
        <f>COUNTIFS('Test Cases'!$F$2:$F$101,$A21,'Test Cases'!$J$2:$J$101,"Pass")</f>
        <v>0</v>
      </c>
      <c r="D21" s="14">
        <f>COUNTIFS('Test Cases'!$F$2:$F$101,$A21,'Test Cases'!$J$2:$J$101,"Fail")</f>
        <v>0</v>
      </c>
      <c r="E21" s="14">
        <f>COUNTIFS('Test Cases'!$F$2:$F$101,$A21,'Test Cases'!$J$2:$J$101,"Not Run")</f>
        <v>42</v>
      </c>
    </row>
    <row r="22" ht="15.75" customHeight="1">
      <c r="A22" s="10" t="s">
        <v>77</v>
      </c>
      <c r="B22" s="14">
        <f>COUNTIF('Test Cases'!$F$2:$F$101,A22)</f>
        <v>20</v>
      </c>
      <c r="C22" s="14">
        <f>COUNTIFS('Test Cases'!$F$2:$F$101,$A22,'Test Cases'!$J$2:$J$101,"Pass")</f>
        <v>0</v>
      </c>
      <c r="D22" s="14">
        <f>COUNTIFS('Test Cases'!$F$2:$F$101,$A22,'Test Cases'!$J$2:$J$101,"Fail")</f>
        <v>0</v>
      </c>
      <c r="E22" s="14">
        <f>COUNTIFS('Test Cases'!$F$2:$F$101,$A22,'Test Cases'!$J$2:$J$101,"Not Run")</f>
        <v>20</v>
      </c>
    </row>
    <row r="23" ht="15.75" customHeight="1">
      <c r="A23" s="10" t="s">
        <v>332</v>
      </c>
      <c r="B23" s="14">
        <f>COUNTIF('Test Cases'!$F$2:$F$101,A23)</f>
        <v>3</v>
      </c>
      <c r="C23" s="14">
        <f>COUNTIFS('Test Cases'!$F$2:$F$101,$A23,'Test Cases'!$J$2:$J$101,"Pass")</f>
        <v>0</v>
      </c>
      <c r="D23" s="14">
        <f>COUNTIFS('Test Cases'!$F$2:$F$101,$A23,'Test Cases'!$J$2:$J$101,"Fail")</f>
        <v>0</v>
      </c>
      <c r="E23" s="14">
        <f>COUNTIFS('Test Cases'!$F$2:$F$101,$A23,'Test Cases'!$J$2:$J$101,"Not Run")</f>
        <v>3</v>
      </c>
    </row>
    <row r="24" ht="15.75" customHeight="1"/>
    <row r="25" ht="15.75" customHeight="1"/>
    <row r="26" ht="15.75" customHeight="1">
      <c r="A26" s="22" t="s">
        <v>387</v>
      </c>
    </row>
    <row r="27" ht="15.75" customHeight="1">
      <c r="A27" s="3" t="s">
        <v>388</v>
      </c>
    </row>
    <row r="28" ht="15.75" customHeight="1">
      <c r="A28" s="3" t="s">
        <v>389</v>
      </c>
    </row>
    <row r="29" ht="15.75" customHeight="1">
      <c r="A29" s="3" t="s">
        <v>390</v>
      </c>
    </row>
    <row r="30" ht="15.75" customHeight="1">
      <c r="A30" s="3" t="s">
        <v>391</v>
      </c>
    </row>
    <row r="31" ht="15.75" customHeight="1">
      <c r="A31" s="3" t="s">
        <v>392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42.0"/>
    <col customWidth="1" min="4" max="4" width="38.0"/>
    <col customWidth="1" min="5" max="5" width="50.0"/>
    <col customWidth="1" min="6" max="6" width="10.29"/>
    <col customWidth="1" min="7" max="7" width="14.0"/>
    <col customWidth="1" min="8" max="8" width="38.0"/>
    <col customWidth="1" min="9" max="9" width="30.0"/>
    <col customWidth="1" min="10" max="12" width="12.0"/>
    <col customWidth="1" min="13" max="13" width="28.0"/>
  </cols>
  <sheetData>
    <row r="1" ht="30.0" customHeight="1">
      <c r="A1" s="4" t="s">
        <v>2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</row>
    <row r="2">
      <c r="A2" s="9" t="s">
        <v>18</v>
      </c>
      <c r="B2" s="9" t="s">
        <v>22</v>
      </c>
      <c r="C2" s="9" t="s">
        <v>23</v>
      </c>
      <c r="D2" s="9" t="s">
        <v>24</v>
      </c>
      <c r="E2" s="9" t="s">
        <v>26</v>
      </c>
      <c r="F2" s="11" t="s">
        <v>33</v>
      </c>
      <c r="G2" s="9" t="s">
        <v>25</v>
      </c>
      <c r="H2" s="9" t="s">
        <v>34</v>
      </c>
      <c r="I2" s="9"/>
      <c r="J2" s="11" t="s">
        <v>31</v>
      </c>
      <c r="K2" s="9"/>
      <c r="L2" s="9"/>
      <c r="M2" s="9"/>
    </row>
    <row r="3">
      <c r="A3" s="9" t="s">
        <v>36</v>
      </c>
      <c r="B3" s="9" t="s">
        <v>22</v>
      </c>
      <c r="C3" s="9" t="s">
        <v>37</v>
      </c>
      <c r="D3" s="9" t="s">
        <v>38</v>
      </c>
      <c r="E3" s="9" t="s">
        <v>39</v>
      </c>
      <c r="F3" s="11" t="s">
        <v>33</v>
      </c>
      <c r="G3" s="9" t="s">
        <v>25</v>
      </c>
      <c r="H3" s="9" t="s">
        <v>34</v>
      </c>
      <c r="I3" s="9"/>
      <c r="J3" s="11" t="s">
        <v>31</v>
      </c>
      <c r="K3" s="9"/>
      <c r="L3" s="9"/>
      <c r="M3" s="9"/>
    </row>
    <row r="4">
      <c r="A4" s="9" t="s">
        <v>41</v>
      </c>
      <c r="B4" s="9" t="s">
        <v>22</v>
      </c>
      <c r="C4" s="9" t="s">
        <v>42</v>
      </c>
      <c r="D4" s="9" t="s">
        <v>43</v>
      </c>
      <c r="E4" s="9" t="s">
        <v>44</v>
      </c>
      <c r="F4" s="11" t="s">
        <v>33</v>
      </c>
      <c r="G4" s="9" t="s">
        <v>25</v>
      </c>
      <c r="H4" s="9" t="s">
        <v>34</v>
      </c>
      <c r="I4" s="9"/>
      <c r="J4" s="11" t="s">
        <v>31</v>
      </c>
      <c r="K4" s="9"/>
      <c r="L4" s="9"/>
      <c r="M4" s="9"/>
    </row>
    <row r="5">
      <c r="A5" s="9" t="s">
        <v>45</v>
      </c>
      <c r="B5" s="9" t="s">
        <v>22</v>
      </c>
      <c r="C5" s="9" t="s">
        <v>46</v>
      </c>
      <c r="D5" s="9" t="s">
        <v>47</v>
      </c>
      <c r="E5" s="9" t="s">
        <v>48</v>
      </c>
      <c r="F5" s="11" t="s">
        <v>33</v>
      </c>
      <c r="G5" s="9" t="s">
        <v>25</v>
      </c>
      <c r="H5" s="9" t="s">
        <v>34</v>
      </c>
      <c r="I5" s="9"/>
      <c r="J5" s="11" t="s">
        <v>31</v>
      </c>
      <c r="K5" s="9"/>
      <c r="L5" s="9"/>
      <c r="M5" s="9"/>
    </row>
    <row r="6">
      <c r="A6" s="9" t="s">
        <v>49</v>
      </c>
      <c r="B6" s="9" t="s">
        <v>22</v>
      </c>
      <c r="C6" s="9" t="s">
        <v>50</v>
      </c>
      <c r="D6" s="9" t="s">
        <v>51</v>
      </c>
      <c r="E6" s="9" t="s">
        <v>52</v>
      </c>
      <c r="F6" s="11" t="s">
        <v>53</v>
      </c>
      <c r="G6" s="9" t="s">
        <v>27</v>
      </c>
      <c r="H6" s="9"/>
      <c r="I6" s="9"/>
      <c r="J6" s="11" t="s">
        <v>31</v>
      </c>
      <c r="K6" s="9"/>
      <c r="L6" s="9"/>
      <c r="M6" s="9"/>
    </row>
    <row r="7">
      <c r="A7" s="9" t="s">
        <v>54</v>
      </c>
      <c r="B7" s="9" t="s">
        <v>22</v>
      </c>
      <c r="C7" s="9" t="s">
        <v>55</v>
      </c>
      <c r="D7" s="9" t="s">
        <v>56</v>
      </c>
      <c r="E7" s="9" t="s">
        <v>57</v>
      </c>
      <c r="F7" s="11" t="s">
        <v>33</v>
      </c>
      <c r="G7" s="9" t="s">
        <v>25</v>
      </c>
      <c r="H7" s="9" t="s">
        <v>34</v>
      </c>
      <c r="I7" s="9"/>
      <c r="J7" s="11" t="s">
        <v>31</v>
      </c>
      <c r="K7" s="9"/>
      <c r="L7" s="9"/>
      <c r="M7" s="9"/>
    </row>
    <row r="8">
      <c r="A8" s="9" t="s">
        <v>59</v>
      </c>
      <c r="B8" s="9" t="s">
        <v>22</v>
      </c>
      <c r="C8" s="9" t="s">
        <v>60</v>
      </c>
      <c r="D8" s="9" t="s">
        <v>61</v>
      </c>
      <c r="E8" s="9" t="s">
        <v>62</v>
      </c>
      <c r="F8" s="11" t="s">
        <v>33</v>
      </c>
      <c r="G8" s="9" t="s">
        <v>25</v>
      </c>
      <c r="H8" s="9" t="s">
        <v>34</v>
      </c>
      <c r="I8" s="9"/>
      <c r="J8" s="11" t="s">
        <v>31</v>
      </c>
      <c r="K8" s="9"/>
      <c r="L8" s="9"/>
      <c r="M8" s="9"/>
    </row>
    <row r="9">
      <c r="A9" s="9" t="s">
        <v>63</v>
      </c>
      <c r="B9" s="9" t="s">
        <v>22</v>
      </c>
      <c r="C9" s="9" t="s">
        <v>64</v>
      </c>
      <c r="D9" s="9" t="s">
        <v>66</v>
      </c>
      <c r="E9" s="9" t="s">
        <v>67</v>
      </c>
      <c r="F9" s="11" t="s">
        <v>53</v>
      </c>
      <c r="G9" s="9" t="s">
        <v>27</v>
      </c>
      <c r="H9" s="9"/>
      <c r="I9" s="9"/>
      <c r="J9" s="11" t="s">
        <v>31</v>
      </c>
      <c r="K9" s="9"/>
      <c r="L9" s="9"/>
      <c r="M9" s="9"/>
    </row>
    <row r="10">
      <c r="A10" s="9" t="s">
        <v>68</v>
      </c>
      <c r="B10" s="9" t="s">
        <v>22</v>
      </c>
      <c r="C10" s="9" t="s">
        <v>69</v>
      </c>
      <c r="D10" s="9" t="s">
        <v>70</v>
      </c>
      <c r="E10" s="9" t="s">
        <v>71</v>
      </c>
      <c r="F10" s="11" t="s">
        <v>53</v>
      </c>
      <c r="G10" s="9" t="s">
        <v>25</v>
      </c>
      <c r="H10" s="9" t="s">
        <v>34</v>
      </c>
      <c r="I10" s="9"/>
      <c r="J10" s="11" t="s">
        <v>31</v>
      </c>
      <c r="K10" s="9"/>
      <c r="L10" s="9"/>
      <c r="M10" s="9"/>
    </row>
    <row r="11">
      <c r="A11" s="9" t="s">
        <v>72</v>
      </c>
      <c r="B11" s="9" t="s">
        <v>22</v>
      </c>
      <c r="C11" s="9" t="s">
        <v>74</v>
      </c>
      <c r="D11" s="9" t="s">
        <v>75</v>
      </c>
      <c r="E11" s="9" t="s">
        <v>76</v>
      </c>
      <c r="F11" s="11" t="s">
        <v>77</v>
      </c>
      <c r="G11" s="9" t="s">
        <v>27</v>
      </c>
      <c r="H11" s="9"/>
      <c r="I11" s="9"/>
      <c r="J11" s="11" t="s">
        <v>31</v>
      </c>
      <c r="K11" s="9"/>
      <c r="L11" s="9"/>
      <c r="M11" s="9"/>
    </row>
    <row r="12">
      <c r="A12" s="9" t="s">
        <v>78</v>
      </c>
      <c r="B12" s="9" t="s">
        <v>22</v>
      </c>
      <c r="C12" s="9" t="s">
        <v>79</v>
      </c>
      <c r="D12" s="9" t="s">
        <v>80</v>
      </c>
      <c r="E12" s="9" t="s">
        <v>81</v>
      </c>
      <c r="F12" s="11" t="s">
        <v>77</v>
      </c>
      <c r="G12" s="9" t="s">
        <v>27</v>
      </c>
      <c r="H12" s="9"/>
      <c r="I12" s="9"/>
      <c r="J12" s="11" t="s">
        <v>31</v>
      </c>
      <c r="K12" s="9"/>
      <c r="L12" s="9"/>
      <c r="M12" s="9"/>
    </row>
    <row r="13">
      <c r="A13" s="9" t="s">
        <v>82</v>
      </c>
      <c r="B13" s="9" t="s">
        <v>22</v>
      </c>
      <c r="C13" s="9" t="s">
        <v>83</v>
      </c>
      <c r="D13" s="9" t="s">
        <v>84</v>
      </c>
      <c r="E13" s="9" t="s">
        <v>85</v>
      </c>
      <c r="F13" s="11" t="s">
        <v>53</v>
      </c>
      <c r="G13" s="9" t="s">
        <v>25</v>
      </c>
      <c r="H13" s="9" t="s">
        <v>34</v>
      </c>
      <c r="I13" s="9"/>
      <c r="J13" s="11" t="s">
        <v>31</v>
      </c>
      <c r="K13" s="9"/>
      <c r="L13" s="9"/>
      <c r="M13" s="9"/>
    </row>
    <row r="14">
      <c r="A14" s="9" t="s">
        <v>86</v>
      </c>
      <c r="B14" s="9" t="s">
        <v>88</v>
      </c>
      <c r="C14" s="9" t="s">
        <v>89</v>
      </c>
      <c r="D14" s="9" t="s">
        <v>90</v>
      </c>
      <c r="E14" s="9" t="s">
        <v>91</v>
      </c>
      <c r="F14" s="11" t="s">
        <v>33</v>
      </c>
      <c r="G14" s="9" t="s">
        <v>25</v>
      </c>
      <c r="H14" s="9" t="s">
        <v>34</v>
      </c>
      <c r="I14" s="9"/>
      <c r="J14" s="11" t="s">
        <v>31</v>
      </c>
      <c r="K14" s="9"/>
      <c r="L14" s="9"/>
      <c r="M14" s="9"/>
    </row>
    <row r="15">
      <c r="A15" s="9" t="s">
        <v>93</v>
      </c>
      <c r="B15" s="9" t="s">
        <v>88</v>
      </c>
      <c r="C15" s="9" t="s">
        <v>94</v>
      </c>
      <c r="D15" s="9" t="s">
        <v>95</v>
      </c>
      <c r="E15" s="9" t="s">
        <v>96</v>
      </c>
      <c r="F15" s="11" t="s">
        <v>33</v>
      </c>
      <c r="G15" s="9" t="s">
        <v>25</v>
      </c>
      <c r="H15" s="9" t="s">
        <v>34</v>
      </c>
      <c r="I15" s="9"/>
      <c r="J15" s="11" t="s">
        <v>31</v>
      </c>
      <c r="K15" s="9"/>
      <c r="L15" s="9"/>
      <c r="M15" s="9"/>
    </row>
    <row r="16">
      <c r="A16" s="9" t="s">
        <v>97</v>
      </c>
      <c r="B16" s="9" t="s">
        <v>88</v>
      </c>
      <c r="C16" s="9" t="s">
        <v>98</v>
      </c>
      <c r="D16" s="9" t="s">
        <v>99</v>
      </c>
      <c r="E16" s="9" t="s">
        <v>96</v>
      </c>
      <c r="F16" s="11" t="s">
        <v>33</v>
      </c>
      <c r="G16" s="9" t="s">
        <v>25</v>
      </c>
      <c r="H16" s="9" t="s">
        <v>34</v>
      </c>
      <c r="I16" s="9"/>
      <c r="J16" s="11" t="s">
        <v>31</v>
      </c>
      <c r="K16" s="9"/>
      <c r="L16" s="9"/>
      <c r="M16" s="9"/>
    </row>
    <row r="17">
      <c r="A17" s="9" t="s">
        <v>100</v>
      </c>
      <c r="B17" s="9" t="s">
        <v>88</v>
      </c>
      <c r="C17" s="9" t="s">
        <v>101</v>
      </c>
      <c r="D17" s="9" t="s">
        <v>102</v>
      </c>
      <c r="E17" s="9" t="s">
        <v>96</v>
      </c>
      <c r="F17" s="11" t="s">
        <v>33</v>
      </c>
      <c r="G17" s="9" t="s">
        <v>25</v>
      </c>
      <c r="H17" s="9" t="s">
        <v>34</v>
      </c>
      <c r="I17" s="9"/>
      <c r="J17" s="11" t="s">
        <v>31</v>
      </c>
      <c r="K17" s="9"/>
      <c r="L17" s="9"/>
      <c r="M17" s="9"/>
    </row>
    <row r="18">
      <c r="A18" s="9" t="s">
        <v>103</v>
      </c>
      <c r="B18" s="9" t="s">
        <v>88</v>
      </c>
      <c r="C18" s="9" t="s">
        <v>104</v>
      </c>
      <c r="D18" s="9" t="s">
        <v>105</v>
      </c>
      <c r="E18" s="9" t="s">
        <v>96</v>
      </c>
      <c r="F18" s="11" t="s">
        <v>53</v>
      </c>
      <c r="G18" s="9" t="s">
        <v>25</v>
      </c>
      <c r="H18" s="9" t="s">
        <v>34</v>
      </c>
      <c r="I18" s="9"/>
      <c r="J18" s="11" t="s">
        <v>31</v>
      </c>
      <c r="K18" s="9"/>
      <c r="L18" s="9"/>
      <c r="M18" s="9"/>
    </row>
    <row r="19">
      <c r="A19" s="9" t="s">
        <v>106</v>
      </c>
      <c r="B19" s="9" t="s">
        <v>88</v>
      </c>
      <c r="C19" s="9" t="s">
        <v>107</v>
      </c>
      <c r="D19" s="9" t="s">
        <v>108</v>
      </c>
      <c r="E19" s="9" t="s">
        <v>96</v>
      </c>
      <c r="F19" s="11" t="s">
        <v>53</v>
      </c>
      <c r="G19" s="9" t="s">
        <v>25</v>
      </c>
      <c r="H19" s="9" t="s">
        <v>34</v>
      </c>
      <c r="I19" s="9"/>
      <c r="J19" s="11" t="s">
        <v>31</v>
      </c>
      <c r="K19" s="9"/>
      <c r="L19" s="9"/>
      <c r="M19" s="9"/>
    </row>
    <row r="20">
      <c r="A20" s="9" t="s">
        <v>109</v>
      </c>
      <c r="B20" s="9" t="s">
        <v>88</v>
      </c>
      <c r="C20" s="9" t="s">
        <v>110</v>
      </c>
      <c r="D20" s="9" t="s">
        <v>111</v>
      </c>
      <c r="E20" s="9" t="s">
        <v>96</v>
      </c>
      <c r="F20" s="11" t="s">
        <v>53</v>
      </c>
      <c r="G20" s="9" t="s">
        <v>25</v>
      </c>
      <c r="H20" s="9" t="s">
        <v>34</v>
      </c>
      <c r="I20" s="9"/>
      <c r="J20" s="11" t="s">
        <v>31</v>
      </c>
      <c r="K20" s="9"/>
      <c r="L20" s="9"/>
      <c r="M20" s="9"/>
    </row>
    <row r="21" ht="15.75" customHeight="1">
      <c r="A21" s="9" t="s">
        <v>112</v>
      </c>
      <c r="B21" s="9" t="s">
        <v>88</v>
      </c>
      <c r="C21" s="9" t="s">
        <v>113</v>
      </c>
      <c r="D21" s="9" t="s">
        <v>114</v>
      </c>
      <c r="E21" s="9" t="s">
        <v>96</v>
      </c>
      <c r="F21" s="11" t="s">
        <v>53</v>
      </c>
      <c r="G21" s="9" t="s">
        <v>25</v>
      </c>
      <c r="H21" s="9" t="s">
        <v>34</v>
      </c>
      <c r="I21" s="9"/>
      <c r="J21" s="11" t="s">
        <v>31</v>
      </c>
      <c r="K21" s="9"/>
      <c r="L21" s="9"/>
      <c r="M21" s="9"/>
    </row>
    <row r="22" ht="15.75" customHeight="1">
      <c r="A22" s="9" t="s">
        <v>115</v>
      </c>
      <c r="B22" s="9" t="s">
        <v>88</v>
      </c>
      <c r="C22" s="9" t="s">
        <v>116</v>
      </c>
      <c r="D22" s="9" t="s">
        <v>117</v>
      </c>
      <c r="E22" s="9" t="s">
        <v>96</v>
      </c>
      <c r="F22" s="11" t="s">
        <v>53</v>
      </c>
      <c r="G22" s="9" t="s">
        <v>25</v>
      </c>
      <c r="H22" s="9" t="s">
        <v>34</v>
      </c>
      <c r="I22" s="9"/>
      <c r="J22" s="11" t="s">
        <v>31</v>
      </c>
      <c r="K22" s="9"/>
      <c r="L22" s="9"/>
      <c r="M22" s="9"/>
    </row>
    <row r="23" ht="15.75" customHeight="1">
      <c r="A23" s="9" t="s">
        <v>118</v>
      </c>
      <c r="B23" s="9" t="s">
        <v>88</v>
      </c>
      <c r="C23" s="9" t="s">
        <v>119</v>
      </c>
      <c r="D23" s="9" t="s">
        <v>120</v>
      </c>
      <c r="E23" s="9" t="s">
        <v>121</v>
      </c>
      <c r="F23" s="11" t="s">
        <v>33</v>
      </c>
      <c r="G23" s="9" t="s">
        <v>25</v>
      </c>
      <c r="H23" s="9" t="s">
        <v>34</v>
      </c>
      <c r="I23" s="9"/>
      <c r="J23" s="11" t="s">
        <v>31</v>
      </c>
      <c r="K23" s="9"/>
      <c r="L23" s="9"/>
      <c r="M23" s="9"/>
    </row>
    <row r="24" ht="15.75" customHeight="1">
      <c r="A24" s="9" t="s">
        <v>122</v>
      </c>
      <c r="B24" s="9" t="s">
        <v>88</v>
      </c>
      <c r="C24" s="9" t="s">
        <v>123</v>
      </c>
      <c r="D24" s="9" t="s">
        <v>120</v>
      </c>
      <c r="E24" s="9" t="s">
        <v>124</v>
      </c>
      <c r="F24" s="11" t="s">
        <v>33</v>
      </c>
      <c r="G24" s="9" t="s">
        <v>25</v>
      </c>
      <c r="H24" s="9" t="s">
        <v>34</v>
      </c>
      <c r="I24" s="9"/>
      <c r="J24" s="11" t="s">
        <v>31</v>
      </c>
      <c r="K24" s="9"/>
      <c r="L24" s="9"/>
      <c r="M24" s="9"/>
    </row>
    <row r="25" ht="15.75" customHeight="1">
      <c r="A25" s="9" t="s">
        <v>125</v>
      </c>
      <c r="B25" s="9" t="s">
        <v>88</v>
      </c>
      <c r="C25" s="9" t="s">
        <v>126</v>
      </c>
      <c r="D25" s="9" t="s">
        <v>127</v>
      </c>
      <c r="E25" s="9" t="s">
        <v>128</v>
      </c>
      <c r="F25" s="11" t="s">
        <v>53</v>
      </c>
      <c r="G25" s="9" t="s">
        <v>25</v>
      </c>
      <c r="H25" s="9" t="s">
        <v>129</v>
      </c>
      <c r="I25" s="9"/>
      <c r="J25" s="11" t="s">
        <v>31</v>
      </c>
      <c r="K25" s="9"/>
      <c r="L25" s="9"/>
      <c r="M25" s="9"/>
    </row>
    <row r="26" ht="15.75" customHeight="1">
      <c r="A26" s="9" t="s">
        <v>130</v>
      </c>
      <c r="B26" s="9" t="s">
        <v>88</v>
      </c>
      <c r="C26" s="9" t="s">
        <v>131</v>
      </c>
      <c r="D26" s="9" t="s">
        <v>132</v>
      </c>
      <c r="E26" s="9" t="s">
        <v>133</v>
      </c>
      <c r="F26" s="11" t="s">
        <v>53</v>
      </c>
      <c r="G26" s="9" t="s">
        <v>25</v>
      </c>
      <c r="H26" s="9" t="s">
        <v>129</v>
      </c>
      <c r="I26" s="9"/>
      <c r="J26" s="11" t="s">
        <v>31</v>
      </c>
      <c r="K26" s="9"/>
      <c r="L26" s="9"/>
      <c r="M26" s="9"/>
    </row>
    <row r="27" ht="15.75" customHeight="1">
      <c r="A27" s="9" t="s">
        <v>134</v>
      </c>
      <c r="B27" s="9" t="s">
        <v>88</v>
      </c>
      <c r="C27" s="9" t="s">
        <v>135</v>
      </c>
      <c r="D27" s="9" t="s">
        <v>136</v>
      </c>
      <c r="E27" s="9" t="s">
        <v>137</v>
      </c>
      <c r="F27" s="11" t="s">
        <v>53</v>
      </c>
      <c r="G27" s="9" t="s">
        <v>27</v>
      </c>
      <c r="H27" s="9"/>
      <c r="I27" s="9"/>
      <c r="J27" s="11" t="s">
        <v>31</v>
      </c>
      <c r="K27" s="9"/>
      <c r="L27" s="9"/>
      <c r="M27" s="9"/>
    </row>
    <row r="28" ht="15.75" customHeight="1">
      <c r="A28" s="9" t="s">
        <v>138</v>
      </c>
      <c r="B28" s="9" t="s">
        <v>88</v>
      </c>
      <c r="C28" s="9" t="s">
        <v>139</v>
      </c>
      <c r="D28" s="9" t="s">
        <v>140</v>
      </c>
      <c r="E28" s="9" t="s">
        <v>141</v>
      </c>
      <c r="F28" s="11" t="s">
        <v>53</v>
      </c>
      <c r="G28" s="9" t="s">
        <v>27</v>
      </c>
      <c r="H28" s="9"/>
      <c r="I28" s="9"/>
      <c r="J28" s="11" t="s">
        <v>31</v>
      </c>
      <c r="K28" s="9"/>
      <c r="L28" s="9"/>
      <c r="M28" s="9"/>
    </row>
    <row r="29" ht="15.75" customHeight="1">
      <c r="A29" s="9" t="s">
        <v>142</v>
      </c>
      <c r="B29" s="9" t="s">
        <v>88</v>
      </c>
      <c r="C29" s="9" t="s">
        <v>143</v>
      </c>
      <c r="D29" s="9" t="s">
        <v>144</v>
      </c>
      <c r="E29" s="9" t="s">
        <v>145</v>
      </c>
      <c r="F29" s="11" t="s">
        <v>53</v>
      </c>
      <c r="G29" s="9" t="s">
        <v>27</v>
      </c>
      <c r="H29" s="9"/>
      <c r="I29" s="9"/>
      <c r="J29" s="11" t="s">
        <v>31</v>
      </c>
      <c r="K29" s="9"/>
      <c r="L29" s="9"/>
      <c r="M29" s="9"/>
    </row>
    <row r="30" ht="15.75" customHeight="1">
      <c r="A30" s="9" t="s">
        <v>146</v>
      </c>
      <c r="B30" s="9" t="s">
        <v>88</v>
      </c>
      <c r="C30" s="9" t="s">
        <v>147</v>
      </c>
      <c r="D30" s="9" t="s">
        <v>148</v>
      </c>
      <c r="E30" s="9" t="s">
        <v>149</v>
      </c>
      <c r="F30" s="11" t="s">
        <v>33</v>
      </c>
      <c r="G30" s="9" t="s">
        <v>25</v>
      </c>
      <c r="H30" s="9" t="s">
        <v>129</v>
      </c>
      <c r="I30" s="9"/>
      <c r="J30" s="11" t="s">
        <v>31</v>
      </c>
      <c r="K30" s="9"/>
      <c r="L30" s="9"/>
      <c r="M30" s="9"/>
    </row>
    <row r="31" ht="15.75" customHeight="1">
      <c r="A31" s="9" t="s">
        <v>150</v>
      </c>
      <c r="B31" s="9" t="s">
        <v>88</v>
      </c>
      <c r="C31" s="9" t="s">
        <v>151</v>
      </c>
      <c r="D31" s="9" t="s">
        <v>152</v>
      </c>
      <c r="E31" s="9" t="s">
        <v>153</v>
      </c>
      <c r="F31" s="11" t="s">
        <v>53</v>
      </c>
      <c r="G31" s="9" t="s">
        <v>25</v>
      </c>
      <c r="H31" s="9" t="s">
        <v>34</v>
      </c>
      <c r="I31" s="9"/>
      <c r="J31" s="11" t="s">
        <v>31</v>
      </c>
      <c r="K31" s="9"/>
      <c r="L31" s="9"/>
      <c r="M31" s="9"/>
    </row>
    <row r="32" ht="15.75" customHeight="1">
      <c r="A32" s="9" t="s">
        <v>154</v>
      </c>
      <c r="B32" s="9" t="s">
        <v>155</v>
      </c>
      <c r="C32" s="9" t="s">
        <v>156</v>
      </c>
      <c r="D32" s="9"/>
      <c r="E32" s="9" t="s">
        <v>157</v>
      </c>
      <c r="F32" s="11" t="s">
        <v>33</v>
      </c>
      <c r="G32" s="9" t="s">
        <v>25</v>
      </c>
      <c r="H32" s="9" t="s">
        <v>158</v>
      </c>
      <c r="I32" s="9"/>
      <c r="J32" s="11" t="s">
        <v>31</v>
      </c>
      <c r="K32" s="9"/>
      <c r="L32" s="9"/>
      <c r="M32" s="9"/>
    </row>
    <row r="33" ht="15.75" customHeight="1">
      <c r="A33" s="9" t="s">
        <v>159</v>
      </c>
      <c r="B33" s="9" t="s">
        <v>155</v>
      </c>
      <c r="C33" s="9" t="s">
        <v>160</v>
      </c>
      <c r="D33" s="9"/>
      <c r="E33" s="9" t="s">
        <v>161</v>
      </c>
      <c r="F33" s="11" t="s">
        <v>33</v>
      </c>
      <c r="G33" s="9" t="s">
        <v>25</v>
      </c>
      <c r="H33" s="9" t="s">
        <v>158</v>
      </c>
      <c r="I33" s="9"/>
      <c r="J33" s="11" t="s">
        <v>31</v>
      </c>
      <c r="K33" s="9"/>
      <c r="L33" s="9"/>
      <c r="M33" s="9"/>
    </row>
    <row r="34" ht="15.75" customHeight="1">
      <c r="A34" s="9" t="s">
        <v>162</v>
      </c>
      <c r="B34" s="9" t="s">
        <v>155</v>
      </c>
      <c r="C34" s="9" t="s">
        <v>163</v>
      </c>
      <c r="D34" s="9"/>
      <c r="E34" s="9" t="s">
        <v>164</v>
      </c>
      <c r="F34" s="11" t="s">
        <v>33</v>
      </c>
      <c r="G34" s="9" t="s">
        <v>25</v>
      </c>
      <c r="H34" s="9" t="s">
        <v>158</v>
      </c>
      <c r="I34" s="9"/>
      <c r="J34" s="11" t="s">
        <v>31</v>
      </c>
      <c r="K34" s="9"/>
      <c r="L34" s="9"/>
      <c r="M34" s="9"/>
    </row>
    <row r="35" ht="15.75" customHeight="1">
      <c r="A35" s="9" t="s">
        <v>165</v>
      </c>
      <c r="B35" s="9" t="s">
        <v>155</v>
      </c>
      <c r="C35" s="9" t="s">
        <v>166</v>
      </c>
      <c r="D35" s="9"/>
      <c r="E35" s="9" t="s">
        <v>167</v>
      </c>
      <c r="F35" s="11" t="s">
        <v>33</v>
      </c>
      <c r="G35" s="9" t="s">
        <v>25</v>
      </c>
      <c r="H35" s="9" t="s">
        <v>158</v>
      </c>
      <c r="I35" s="9"/>
      <c r="J35" s="11" t="s">
        <v>31</v>
      </c>
      <c r="K35" s="9"/>
      <c r="L35" s="9"/>
      <c r="M35" s="9"/>
    </row>
    <row r="36" ht="15.75" customHeight="1">
      <c r="A36" s="9" t="s">
        <v>168</v>
      </c>
      <c r="B36" s="9" t="s">
        <v>155</v>
      </c>
      <c r="C36" s="9" t="s">
        <v>169</v>
      </c>
      <c r="D36" s="9"/>
      <c r="E36" s="9" t="s">
        <v>164</v>
      </c>
      <c r="F36" s="11" t="s">
        <v>53</v>
      </c>
      <c r="G36" s="9" t="s">
        <v>25</v>
      </c>
      <c r="H36" s="9" t="s">
        <v>158</v>
      </c>
      <c r="I36" s="9"/>
      <c r="J36" s="11" t="s">
        <v>31</v>
      </c>
      <c r="K36" s="9"/>
      <c r="L36" s="9"/>
      <c r="M36" s="9"/>
    </row>
    <row r="37" ht="15.75" customHeight="1">
      <c r="A37" s="9" t="s">
        <v>170</v>
      </c>
      <c r="B37" s="9" t="s">
        <v>155</v>
      </c>
      <c r="C37" s="9" t="s">
        <v>171</v>
      </c>
      <c r="D37" s="9"/>
      <c r="E37" s="9" t="s">
        <v>172</v>
      </c>
      <c r="F37" s="11" t="s">
        <v>53</v>
      </c>
      <c r="G37" s="9" t="s">
        <v>25</v>
      </c>
      <c r="H37" s="9" t="s">
        <v>158</v>
      </c>
      <c r="I37" s="9"/>
      <c r="J37" s="11" t="s">
        <v>31</v>
      </c>
      <c r="K37" s="9"/>
      <c r="L37" s="9"/>
      <c r="M37" s="9"/>
    </row>
    <row r="38" ht="15.75" customHeight="1">
      <c r="A38" s="9" t="s">
        <v>173</v>
      </c>
      <c r="B38" s="9" t="s">
        <v>155</v>
      </c>
      <c r="C38" s="9" t="s">
        <v>174</v>
      </c>
      <c r="D38" s="9"/>
      <c r="E38" s="9" t="s">
        <v>175</v>
      </c>
      <c r="F38" s="11" t="s">
        <v>33</v>
      </c>
      <c r="G38" s="9" t="s">
        <v>25</v>
      </c>
      <c r="H38" s="9" t="s">
        <v>158</v>
      </c>
      <c r="I38" s="9"/>
      <c r="J38" s="11" t="s">
        <v>31</v>
      </c>
      <c r="K38" s="9"/>
      <c r="L38" s="9"/>
      <c r="M38" s="9"/>
    </row>
    <row r="39" ht="15.75" customHeight="1">
      <c r="A39" s="9" t="s">
        <v>176</v>
      </c>
      <c r="B39" s="9" t="s">
        <v>155</v>
      </c>
      <c r="C39" s="9" t="s">
        <v>177</v>
      </c>
      <c r="D39" s="9"/>
      <c r="E39" s="9" t="s">
        <v>178</v>
      </c>
      <c r="F39" s="11" t="s">
        <v>53</v>
      </c>
      <c r="G39" s="9" t="s">
        <v>25</v>
      </c>
      <c r="H39" s="9" t="s">
        <v>158</v>
      </c>
      <c r="I39" s="9"/>
      <c r="J39" s="11" t="s">
        <v>31</v>
      </c>
      <c r="K39" s="9"/>
      <c r="L39" s="9"/>
      <c r="M39" s="9"/>
    </row>
    <row r="40" ht="15.75" customHeight="1">
      <c r="A40" s="9" t="s">
        <v>179</v>
      </c>
      <c r="B40" s="9" t="s">
        <v>155</v>
      </c>
      <c r="C40" s="9" t="s">
        <v>180</v>
      </c>
      <c r="D40" s="9"/>
      <c r="E40" s="9" t="s">
        <v>181</v>
      </c>
      <c r="F40" s="11" t="s">
        <v>33</v>
      </c>
      <c r="G40" s="9" t="s">
        <v>25</v>
      </c>
      <c r="H40" s="9" t="s">
        <v>158</v>
      </c>
      <c r="I40" s="9"/>
      <c r="J40" s="11" t="s">
        <v>31</v>
      </c>
      <c r="K40" s="9"/>
      <c r="L40" s="9"/>
      <c r="M40" s="9"/>
    </row>
    <row r="41" ht="15.75" customHeight="1">
      <c r="A41" s="9" t="s">
        <v>182</v>
      </c>
      <c r="B41" s="9" t="s">
        <v>155</v>
      </c>
      <c r="C41" s="9" t="s">
        <v>183</v>
      </c>
      <c r="D41" s="9"/>
      <c r="E41" s="9" t="s">
        <v>184</v>
      </c>
      <c r="F41" s="11" t="s">
        <v>53</v>
      </c>
      <c r="G41" s="9" t="s">
        <v>25</v>
      </c>
      <c r="H41" s="9" t="s">
        <v>158</v>
      </c>
      <c r="I41" s="9"/>
      <c r="J41" s="11" t="s">
        <v>31</v>
      </c>
      <c r="K41" s="9"/>
      <c r="L41" s="9"/>
      <c r="M41" s="9"/>
    </row>
    <row r="42" ht="15.75" customHeight="1">
      <c r="A42" s="9" t="s">
        <v>185</v>
      </c>
      <c r="B42" s="9" t="s">
        <v>155</v>
      </c>
      <c r="C42" s="9" t="s">
        <v>186</v>
      </c>
      <c r="D42" s="9"/>
      <c r="E42" s="9" t="s">
        <v>187</v>
      </c>
      <c r="F42" s="11" t="s">
        <v>33</v>
      </c>
      <c r="G42" s="9" t="s">
        <v>25</v>
      </c>
      <c r="H42" s="9" t="s">
        <v>158</v>
      </c>
      <c r="I42" s="9"/>
      <c r="J42" s="11" t="s">
        <v>31</v>
      </c>
      <c r="K42" s="9"/>
      <c r="L42" s="9"/>
      <c r="M42" s="9"/>
    </row>
    <row r="43" ht="15.75" customHeight="1">
      <c r="A43" s="9" t="s">
        <v>188</v>
      </c>
      <c r="B43" s="9" t="s">
        <v>155</v>
      </c>
      <c r="C43" s="9" t="s">
        <v>189</v>
      </c>
      <c r="D43" s="9"/>
      <c r="E43" s="9" t="s">
        <v>190</v>
      </c>
      <c r="F43" s="11" t="s">
        <v>53</v>
      </c>
      <c r="G43" s="9" t="s">
        <v>27</v>
      </c>
      <c r="H43" s="9"/>
      <c r="I43" s="9"/>
      <c r="J43" s="11" t="s">
        <v>31</v>
      </c>
      <c r="K43" s="9"/>
      <c r="L43" s="9"/>
      <c r="M43" s="9"/>
    </row>
    <row r="44" ht="15.75" customHeight="1">
      <c r="A44" s="9" t="s">
        <v>191</v>
      </c>
      <c r="B44" s="9" t="s">
        <v>155</v>
      </c>
      <c r="C44" s="9" t="s">
        <v>192</v>
      </c>
      <c r="D44" s="9"/>
      <c r="E44" s="9" t="s">
        <v>193</v>
      </c>
      <c r="F44" s="11" t="s">
        <v>33</v>
      </c>
      <c r="G44" s="9" t="s">
        <v>25</v>
      </c>
      <c r="H44" s="9" t="s">
        <v>194</v>
      </c>
      <c r="I44" s="9"/>
      <c r="J44" s="11" t="s">
        <v>31</v>
      </c>
      <c r="K44" s="9"/>
      <c r="L44" s="9"/>
      <c r="M44" s="9"/>
    </row>
    <row r="45" ht="15.75" customHeight="1">
      <c r="A45" s="9" t="s">
        <v>195</v>
      </c>
      <c r="B45" s="9" t="s">
        <v>155</v>
      </c>
      <c r="C45" s="9" t="s">
        <v>196</v>
      </c>
      <c r="D45" s="9"/>
      <c r="E45" s="9" t="s">
        <v>187</v>
      </c>
      <c r="F45" s="11" t="s">
        <v>33</v>
      </c>
      <c r="G45" s="9" t="s">
        <v>25</v>
      </c>
      <c r="H45" s="9" t="s">
        <v>194</v>
      </c>
      <c r="I45" s="9"/>
      <c r="J45" s="11" t="s">
        <v>31</v>
      </c>
      <c r="K45" s="9"/>
      <c r="L45" s="9"/>
      <c r="M45" s="9"/>
    </row>
    <row r="46" ht="15.75" customHeight="1">
      <c r="A46" s="9" t="s">
        <v>197</v>
      </c>
      <c r="B46" s="9" t="s">
        <v>155</v>
      </c>
      <c r="C46" s="9" t="s">
        <v>198</v>
      </c>
      <c r="D46" s="9"/>
      <c r="E46" s="9" t="s">
        <v>187</v>
      </c>
      <c r="F46" s="11" t="s">
        <v>33</v>
      </c>
      <c r="G46" s="9" t="s">
        <v>25</v>
      </c>
      <c r="H46" s="9" t="s">
        <v>194</v>
      </c>
      <c r="I46" s="9"/>
      <c r="J46" s="11" t="s">
        <v>31</v>
      </c>
      <c r="K46" s="9"/>
      <c r="L46" s="9"/>
      <c r="M46" s="9"/>
    </row>
    <row r="47" ht="15.75" customHeight="1">
      <c r="A47" s="9" t="s">
        <v>199</v>
      </c>
      <c r="B47" s="9" t="s">
        <v>155</v>
      </c>
      <c r="C47" s="9" t="s">
        <v>200</v>
      </c>
      <c r="D47" s="9"/>
      <c r="E47" s="9" t="s">
        <v>201</v>
      </c>
      <c r="F47" s="11" t="s">
        <v>33</v>
      </c>
      <c r="G47" s="9" t="s">
        <v>25</v>
      </c>
      <c r="H47" s="9" t="s">
        <v>194</v>
      </c>
      <c r="I47" s="9"/>
      <c r="J47" s="11" t="s">
        <v>31</v>
      </c>
      <c r="K47" s="9"/>
      <c r="L47" s="9"/>
      <c r="M47" s="9"/>
    </row>
    <row r="48" ht="15.75" customHeight="1">
      <c r="A48" s="9" t="s">
        <v>203</v>
      </c>
      <c r="B48" s="9" t="s">
        <v>155</v>
      </c>
      <c r="C48" s="9" t="s">
        <v>204</v>
      </c>
      <c r="D48" s="9"/>
      <c r="E48" s="9" t="s">
        <v>161</v>
      </c>
      <c r="F48" s="11" t="s">
        <v>53</v>
      </c>
      <c r="G48" s="9" t="s">
        <v>25</v>
      </c>
      <c r="H48" s="9" t="s">
        <v>194</v>
      </c>
      <c r="I48" s="9"/>
      <c r="J48" s="11" t="s">
        <v>31</v>
      </c>
      <c r="K48" s="9"/>
      <c r="L48" s="9"/>
      <c r="M48" s="9"/>
    </row>
    <row r="49" ht="15.75" customHeight="1">
      <c r="A49" s="9" t="s">
        <v>205</v>
      </c>
      <c r="B49" s="9" t="s">
        <v>155</v>
      </c>
      <c r="C49" s="9" t="s">
        <v>206</v>
      </c>
      <c r="D49" s="9"/>
      <c r="E49" s="9" t="s">
        <v>175</v>
      </c>
      <c r="F49" s="11" t="s">
        <v>53</v>
      </c>
      <c r="G49" s="9" t="s">
        <v>25</v>
      </c>
      <c r="H49" s="9" t="s">
        <v>194</v>
      </c>
      <c r="I49" s="9"/>
      <c r="J49" s="11" t="s">
        <v>31</v>
      </c>
      <c r="K49" s="9"/>
      <c r="L49" s="9"/>
      <c r="M49" s="9"/>
    </row>
    <row r="50" ht="15.75" customHeight="1">
      <c r="A50" s="9" t="s">
        <v>207</v>
      </c>
      <c r="B50" s="9" t="s">
        <v>155</v>
      </c>
      <c r="C50" s="9" t="s">
        <v>208</v>
      </c>
      <c r="D50" s="9"/>
      <c r="E50" s="9" t="s">
        <v>209</v>
      </c>
      <c r="F50" s="11" t="s">
        <v>53</v>
      </c>
      <c r="G50" s="9" t="s">
        <v>27</v>
      </c>
      <c r="H50" s="9"/>
      <c r="I50" s="9"/>
      <c r="J50" s="11" t="s">
        <v>31</v>
      </c>
      <c r="K50" s="9"/>
      <c r="L50" s="9"/>
      <c r="M50" s="9"/>
    </row>
    <row r="51" ht="15.75" customHeight="1">
      <c r="A51" s="9" t="s">
        <v>210</v>
      </c>
      <c r="B51" s="9" t="s">
        <v>155</v>
      </c>
      <c r="C51" s="9" t="s">
        <v>211</v>
      </c>
      <c r="D51" s="9"/>
      <c r="E51" s="9" t="s">
        <v>212</v>
      </c>
      <c r="F51" s="11" t="s">
        <v>77</v>
      </c>
      <c r="G51" s="9" t="s">
        <v>27</v>
      </c>
      <c r="H51" s="9"/>
      <c r="I51" s="9"/>
      <c r="J51" s="11" t="s">
        <v>31</v>
      </c>
      <c r="K51" s="9"/>
      <c r="L51" s="9"/>
      <c r="M51" s="9"/>
    </row>
    <row r="52" ht="15.75" customHeight="1">
      <c r="A52" s="9" t="s">
        <v>213</v>
      </c>
      <c r="B52" s="9" t="s">
        <v>202</v>
      </c>
      <c r="C52" s="9" t="s">
        <v>214</v>
      </c>
      <c r="D52" s="9" t="s">
        <v>215</v>
      </c>
      <c r="E52" s="9" t="s">
        <v>216</v>
      </c>
      <c r="F52" s="11" t="s">
        <v>53</v>
      </c>
      <c r="G52" s="9" t="s">
        <v>25</v>
      </c>
      <c r="H52" s="9" t="s">
        <v>217</v>
      </c>
      <c r="I52" s="9"/>
      <c r="J52" s="11" t="s">
        <v>31</v>
      </c>
      <c r="K52" s="9"/>
      <c r="L52" s="9"/>
      <c r="M52" s="9"/>
    </row>
    <row r="53" ht="15.75" customHeight="1">
      <c r="A53" s="9" t="s">
        <v>218</v>
      </c>
      <c r="B53" s="9" t="s">
        <v>202</v>
      </c>
      <c r="C53" s="9" t="s">
        <v>219</v>
      </c>
      <c r="D53" s="9" t="s">
        <v>220</v>
      </c>
      <c r="E53" s="9" t="s">
        <v>221</v>
      </c>
      <c r="F53" s="11" t="s">
        <v>77</v>
      </c>
      <c r="G53" s="9" t="s">
        <v>27</v>
      </c>
      <c r="H53" s="9"/>
      <c r="I53" s="9"/>
      <c r="J53" s="11" t="s">
        <v>31</v>
      </c>
      <c r="K53" s="9"/>
      <c r="L53" s="9"/>
      <c r="M53" s="9"/>
    </row>
    <row r="54" ht="15.75" customHeight="1">
      <c r="A54" s="9" t="s">
        <v>222</v>
      </c>
      <c r="B54" s="9" t="s">
        <v>202</v>
      </c>
      <c r="C54" s="9" t="s">
        <v>223</v>
      </c>
      <c r="D54" s="9" t="s">
        <v>224</v>
      </c>
      <c r="E54" s="9" t="s">
        <v>225</v>
      </c>
      <c r="F54" s="11" t="s">
        <v>33</v>
      </c>
      <c r="G54" s="9" t="s">
        <v>25</v>
      </c>
      <c r="H54" s="9" t="s">
        <v>217</v>
      </c>
      <c r="I54" s="9"/>
      <c r="J54" s="11" t="s">
        <v>31</v>
      </c>
      <c r="K54" s="9"/>
      <c r="L54" s="9"/>
      <c r="M54" s="9"/>
    </row>
    <row r="55" ht="15.75" customHeight="1">
      <c r="A55" s="9" t="s">
        <v>226</v>
      </c>
      <c r="B55" s="9" t="s">
        <v>202</v>
      </c>
      <c r="C55" s="9" t="s">
        <v>227</v>
      </c>
      <c r="D55" s="9" t="s">
        <v>228</v>
      </c>
      <c r="E55" s="9" t="s">
        <v>229</v>
      </c>
      <c r="F55" s="11" t="s">
        <v>53</v>
      </c>
      <c r="G55" s="9" t="s">
        <v>27</v>
      </c>
      <c r="H55" s="9"/>
      <c r="I55" s="9"/>
      <c r="J55" s="11" t="s">
        <v>31</v>
      </c>
      <c r="K55" s="9"/>
      <c r="L55" s="9"/>
      <c r="M55" s="9"/>
    </row>
    <row r="56" ht="15.75" customHeight="1">
      <c r="A56" s="9" t="s">
        <v>230</v>
      </c>
      <c r="B56" s="9" t="s">
        <v>202</v>
      </c>
      <c r="C56" s="9" t="s">
        <v>231</v>
      </c>
      <c r="D56" s="9" t="s">
        <v>232</v>
      </c>
      <c r="E56" s="9" t="s">
        <v>233</v>
      </c>
      <c r="F56" s="11" t="s">
        <v>33</v>
      </c>
      <c r="G56" s="9" t="s">
        <v>27</v>
      </c>
      <c r="H56" s="9"/>
      <c r="I56" s="9"/>
      <c r="J56" s="11" t="s">
        <v>31</v>
      </c>
      <c r="K56" s="9"/>
      <c r="L56" s="9"/>
      <c r="M56" s="9"/>
    </row>
    <row r="57" ht="15.75" customHeight="1">
      <c r="A57" s="9" t="s">
        <v>234</v>
      </c>
      <c r="B57" s="9" t="s">
        <v>202</v>
      </c>
      <c r="C57" s="9" t="s">
        <v>235</v>
      </c>
      <c r="D57" s="9" t="s">
        <v>236</v>
      </c>
      <c r="E57" s="9" t="s">
        <v>233</v>
      </c>
      <c r="F57" s="11" t="s">
        <v>33</v>
      </c>
      <c r="G57" s="9" t="s">
        <v>27</v>
      </c>
      <c r="H57" s="9"/>
      <c r="I57" s="9"/>
      <c r="J57" s="11" t="s">
        <v>31</v>
      </c>
      <c r="K57" s="9"/>
      <c r="L57" s="9"/>
      <c r="M57" s="9"/>
    </row>
    <row r="58" ht="15.75" customHeight="1">
      <c r="A58" s="9" t="s">
        <v>237</v>
      </c>
      <c r="B58" s="9" t="s">
        <v>202</v>
      </c>
      <c r="C58" s="9" t="s">
        <v>238</v>
      </c>
      <c r="D58" s="9" t="s">
        <v>239</v>
      </c>
      <c r="E58" s="9" t="s">
        <v>240</v>
      </c>
      <c r="F58" s="11" t="s">
        <v>53</v>
      </c>
      <c r="G58" s="9" t="s">
        <v>27</v>
      </c>
      <c r="H58" s="9"/>
      <c r="I58" s="9"/>
      <c r="J58" s="11" t="s">
        <v>31</v>
      </c>
      <c r="K58" s="9"/>
      <c r="L58" s="9"/>
      <c r="M58" s="9"/>
    </row>
    <row r="59" ht="15.75" customHeight="1">
      <c r="A59" s="9" t="s">
        <v>241</v>
      </c>
      <c r="B59" s="9" t="s">
        <v>202</v>
      </c>
      <c r="C59" s="9" t="s">
        <v>242</v>
      </c>
      <c r="D59" s="9" t="s">
        <v>243</v>
      </c>
      <c r="E59" s="9" t="s">
        <v>244</v>
      </c>
      <c r="F59" s="11" t="s">
        <v>33</v>
      </c>
      <c r="G59" s="9" t="s">
        <v>25</v>
      </c>
      <c r="H59" s="9" t="s">
        <v>217</v>
      </c>
      <c r="I59" s="9"/>
      <c r="J59" s="11" t="s">
        <v>31</v>
      </c>
      <c r="K59" s="9"/>
      <c r="L59" s="9"/>
      <c r="M59" s="9"/>
    </row>
    <row r="60" ht="15.75" customHeight="1">
      <c r="A60" s="9" t="s">
        <v>245</v>
      </c>
      <c r="B60" s="9" t="s">
        <v>202</v>
      </c>
      <c r="C60" s="9" t="s">
        <v>246</v>
      </c>
      <c r="D60" s="9" t="s">
        <v>247</v>
      </c>
      <c r="E60" s="9" t="s">
        <v>248</v>
      </c>
      <c r="F60" s="11" t="s">
        <v>33</v>
      </c>
      <c r="G60" s="9" t="s">
        <v>25</v>
      </c>
      <c r="H60" s="9" t="s">
        <v>217</v>
      </c>
      <c r="I60" s="9"/>
      <c r="J60" s="11" t="s">
        <v>31</v>
      </c>
      <c r="K60" s="9"/>
      <c r="L60" s="9"/>
      <c r="M60" s="9"/>
    </row>
    <row r="61" ht="15.75" customHeight="1">
      <c r="A61" s="9" t="s">
        <v>249</v>
      </c>
      <c r="B61" s="9" t="s">
        <v>202</v>
      </c>
      <c r="C61" s="9" t="s">
        <v>250</v>
      </c>
      <c r="D61" s="9" t="s">
        <v>251</v>
      </c>
      <c r="E61" s="9" t="s">
        <v>233</v>
      </c>
      <c r="F61" s="11" t="s">
        <v>53</v>
      </c>
      <c r="G61" s="9" t="s">
        <v>27</v>
      </c>
      <c r="H61" s="9"/>
      <c r="I61" s="9"/>
      <c r="J61" s="11" t="s">
        <v>31</v>
      </c>
      <c r="K61" s="9"/>
      <c r="L61" s="9"/>
      <c r="M61" s="9"/>
    </row>
    <row r="62" ht="15.75" customHeight="1">
      <c r="A62" s="9" t="s">
        <v>252</v>
      </c>
      <c r="B62" s="9" t="s">
        <v>202</v>
      </c>
      <c r="C62" s="9" t="s">
        <v>253</v>
      </c>
      <c r="D62" s="9" t="s">
        <v>254</v>
      </c>
      <c r="E62" s="9" t="s">
        <v>255</v>
      </c>
      <c r="F62" s="11" t="s">
        <v>33</v>
      </c>
      <c r="G62" s="9" t="s">
        <v>27</v>
      </c>
      <c r="H62" s="9"/>
      <c r="I62" s="9"/>
      <c r="J62" s="11" t="s">
        <v>31</v>
      </c>
      <c r="K62" s="9"/>
      <c r="L62" s="9"/>
      <c r="M62" s="9"/>
    </row>
    <row r="63" ht="15.75" customHeight="1">
      <c r="A63" s="9" t="s">
        <v>256</v>
      </c>
      <c r="B63" s="9" t="s">
        <v>202</v>
      </c>
      <c r="C63" s="9" t="s">
        <v>257</v>
      </c>
      <c r="D63" s="9" t="s">
        <v>258</v>
      </c>
      <c r="E63" s="9" t="s">
        <v>240</v>
      </c>
      <c r="F63" s="11" t="s">
        <v>53</v>
      </c>
      <c r="G63" s="9" t="s">
        <v>27</v>
      </c>
      <c r="H63" s="9"/>
      <c r="I63" s="9"/>
      <c r="J63" s="11" t="s">
        <v>31</v>
      </c>
      <c r="K63" s="9"/>
      <c r="L63" s="9"/>
      <c r="M63" s="9"/>
    </row>
    <row r="64" ht="15.75" customHeight="1">
      <c r="A64" s="9" t="s">
        <v>259</v>
      </c>
      <c r="B64" s="9" t="s">
        <v>260</v>
      </c>
      <c r="C64" s="9" t="s">
        <v>261</v>
      </c>
      <c r="D64" s="9" t="s">
        <v>262</v>
      </c>
      <c r="E64" s="9" t="s">
        <v>263</v>
      </c>
      <c r="F64" s="11" t="s">
        <v>33</v>
      </c>
      <c r="G64" s="9" t="s">
        <v>25</v>
      </c>
      <c r="H64" s="9" t="s">
        <v>217</v>
      </c>
      <c r="I64" s="9"/>
      <c r="J64" s="11" t="s">
        <v>31</v>
      </c>
      <c r="K64" s="9"/>
      <c r="L64" s="9"/>
      <c r="M64" s="9"/>
    </row>
    <row r="65" ht="15.75" customHeight="1">
      <c r="A65" s="9" t="s">
        <v>264</v>
      </c>
      <c r="B65" s="9" t="s">
        <v>260</v>
      </c>
      <c r="C65" s="9" t="s">
        <v>265</v>
      </c>
      <c r="D65" s="9" t="s">
        <v>266</v>
      </c>
      <c r="E65" s="9" t="s">
        <v>267</v>
      </c>
      <c r="F65" s="11" t="s">
        <v>33</v>
      </c>
      <c r="G65" s="9" t="s">
        <v>25</v>
      </c>
      <c r="H65" s="9" t="s">
        <v>217</v>
      </c>
      <c r="I65" s="9"/>
      <c r="J65" s="11" t="s">
        <v>31</v>
      </c>
      <c r="K65" s="9"/>
      <c r="L65" s="9"/>
      <c r="M65" s="9"/>
    </row>
    <row r="66" ht="15.75" customHeight="1">
      <c r="A66" s="9" t="s">
        <v>268</v>
      </c>
      <c r="B66" s="9" t="s">
        <v>260</v>
      </c>
      <c r="C66" s="9" t="s">
        <v>269</v>
      </c>
      <c r="D66" s="9" t="s">
        <v>270</v>
      </c>
      <c r="E66" s="9" t="s">
        <v>271</v>
      </c>
      <c r="F66" s="11" t="s">
        <v>53</v>
      </c>
      <c r="G66" s="9" t="s">
        <v>25</v>
      </c>
      <c r="H66" s="9" t="s">
        <v>217</v>
      </c>
      <c r="I66" s="9"/>
      <c r="J66" s="11" t="s">
        <v>31</v>
      </c>
      <c r="K66" s="9"/>
      <c r="L66" s="9"/>
      <c r="M66" s="9"/>
    </row>
    <row r="67" ht="15.75" customHeight="1">
      <c r="A67" s="9" t="s">
        <v>272</v>
      </c>
      <c r="B67" s="9" t="s">
        <v>260</v>
      </c>
      <c r="C67" s="9" t="s">
        <v>273</v>
      </c>
      <c r="D67" s="9" t="s">
        <v>274</v>
      </c>
      <c r="E67" s="9" t="s">
        <v>275</v>
      </c>
      <c r="F67" s="11" t="s">
        <v>53</v>
      </c>
      <c r="G67" s="9" t="s">
        <v>25</v>
      </c>
      <c r="H67" s="9" t="s">
        <v>217</v>
      </c>
      <c r="I67" s="9"/>
      <c r="J67" s="11" t="s">
        <v>31</v>
      </c>
      <c r="K67" s="9"/>
      <c r="L67" s="9"/>
      <c r="M67" s="9"/>
    </row>
    <row r="68" ht="15.75" customHeight="1">
      <c r="A68" s="9" t="s">
        <v>276</v>
      </c>
      <c r="B68" s="9" t="s">
        <v>260</v>
      </c>
      <c r="C68" s="9" t="s">
        <v>277</v>
      </c>
      <c r="D68" s="9" t="s">
        <v>278</v>
      </c>
      <c r="E68" s="9" t="s">
        <v>279</v>
      </c>
      <c r="F68" s="11" t="s">
        <v>53</v>
      </c>
      <c r="G68" s="9" t="s">
        <v>25</v>
      </c>
      <c r="H68" s="9" t="s">
        <v>217</v>
      </c>
      <c r="I68" s="9"/>
      <c r="J68" s="11" t="s">
        <v>31</v>
      </c>
      <c r="K68" s="9"/>
      <c r="L68" s="9"/>
      <c r="M68" s="9"/>
    </row>
    <row r="69" ht="15.75" customHeight="1">
      <c r="A69" s="9" t="s">
        <v>280</v>
      </c>
      <c r="B69" s="9" t="s">
        <v>260</v>
      </c>
      <c r="C69" s="9" t="s">
        <v>281</v>
      </c>
      <c r="D69" s="9" t="s">
        <v>282</v>
      </c>
      <c r="E69" s="9" t="s">
        <v>283</v>
      </c>
      <c r="F69" s="11" t="s">
        <v>77</v>
      </c>
      <c r="G69" s="9" t="s">
        <v>25</v>
      </c>
      <c r="H69" s="9" t="s">
        <v>217</v>
      </c>
      <c r="I69" s="9"/>
      <c r="J69" s="11" t="s">
        <v>31</v>
      </c>
      <c r="K69" s="9"/>
      <c r="L69" s="9"/>
      <c r="M69" s="9"/>
    </row>
    <row r="70" ht="15.75" customHeight="1">
      <c r="A70" s="9" t="s">
        <v>284</v>
      </c>
      <c r="B70" s="9" t="s">
        <v>260</v>
      </c>
      <c r="C70" s="9" t="s">
        <v>285</v>
      </c>
      <c r="D70" s="9" t="s">
        <v>286</v>
      </c>
      <c r="E70" s="9" t="s">
        <v>275</v>
      </c>
      <c r="F70" s="11" t="s">
        <v>53</v>
      </c>
      <c r="G70" s="9" t="s">
        <v>25</v>
      </c>
      <c r="H70" s="9" t="s">
        <v>217</v>
      </c>
      <c r="I70" s="9"/>
      <c r="J70" s="11" t="s">
        <v>31</v>
      </c>
      <c r="K70" s="9"/>
      <c r="L70" s="9"/>
      <c r="M70" s="9"/>
    </row>
    <row r="71" ht="15.75" customHeight="1">
      <c r="A71" s="9" t="s">
        <v>287</v>
      </c>
      <c r="B71" s="9" t="s">
        <v>260</v>
      </c>
      <c r="C71" s="9" t="s">
        <v>288</v>
      </c>
      <c r="D71" s="9" t="s">
        <v>289</v>
      </c>
      <c r="E71" s="9" t="s">
        <v>290</v>
      </c>
      <c r="F71" s="11" t="s">
        <v>33</v>
      </c>
      <c r="G71" s="9" t="s">
        <v>27</v>
      </c>
      <c r="H71" s="9"/>
      <c r="I71" s="9"/>
      <c r="J71" s="11" t="s">
        <v>31</v>
      </c>
      <c r="K71" s="9"/>
      <c r="L71" s="9"/>
      <c r="M71" s="9"/>
    </row>
    <row r="72" ht="15.75" customHeight="1">
      <c r="A72" s="9" t="s">
        <v>291</v>
      </c>
      <c r="B72" s="9" t="s">
        <v>260</v>
      </c>
      <c r="C72" s="9" t="s">
        <v>292</v>
      </c>
      <c r="D72" s="9" t="s">
        <v>293</v>
      </c>
      <c r="E72" s="9" t="s">
        <v>294</v>
      </c>
      <c r="F72" s="11" t="s">
        <v>53</v>
      </c>
      <c r="G72" s="9" t="s">
        <v>27</v>
      </c>
      <c r="H72" s="9"/>
      <c r="I72" s="9"/>
      <c r="J72" s="11" t="s">
        <v>31</v>
      </c>
      <c r="K72" s="9"/>
      <c r="L72" s="9"/>
      <c r="M72" s="9"/>
    </row>
    <row r="73" ht="15.75" customHeight="1">
      <c r="A73" s="9" t="s">
        <v>295</v>
      </c>
      <c r="B73" s="9" t="s">
        <v>260</v>
      </c>
      <c r="C73" s="9" t="s">
        <v>296</v>
      </c>
      <c r="D73" s="9" t="s">
        <v>297</v>
      </c>
      <c r="E73" s="9" t="s">
        <v>298</v>
      </c>
      <c r="F73" s="11" t="s">
        <v>53</v>
      </c>
      <c r="G73" s="9" t="s">
        <v>27</v>
      </c>
      <c r="H73" s="9"/>
      <c r="I73" s="9"/>
      <c r="J73" s="11" t="s">
        <v>31</v>
      </c>
      <c r="K73" s="9"/>
      <c r="L73" s="9"/>
      <c r="M73" s="9"/>
    </row>
    <row r="74" ht="15.75" customHeight="1">
      <c r="A74" s="9" t="s">
        <v>299</v>
      </c>
      <c r="B74" s="9" t="s">
        <v>260</v>
      </c>
      <c r="C74" s="9" t="s">
        <v>300</v>
      </c>
      <c r="D74" s="9" t="s">
        <v>301</v>
      </c>
      <c r="E74" s="9" t="s">
        <v>302</v>
      </c>
      <c r="F74" s="11" t="s">
        <v>77</v>
      </c>
      <c r="G74" s="9" t="s">
        <v>27</v>
      </c>
      <c r="H74" s="9"/>
      <c r="I74" s="9"/>
      <c r="J74" s="11" t="s">
        <v>31</v>
      </c>
      <c r="K74" s="9"/>
      <c r="L74" s="9"/>
      <c r="M74" s="9"/>
    </row>
    <row r="75" ht="15.75" customHeight="1">
      <c r="A75" s="9" t="s">
        <v>303</v>
      </c>
      <c r="B75" s="9" t="s">
        <v>260</v>
      </c>
      <c r="C75" s="9" t="s">
        <v>304</v>
      </c>
      <c r="D75" s="9" t="s">
        <v>305</v>
      </c>
      <c r="E75" s="9" t="s">
        <v>306</v>
      </c>
      <c r="F75" s="11" t="s">
        <v>77</v>
      </c>
      <c r="G75" s="9" t="s">
        <v>27</v>
      </c>
      <c r="H75" s="9"/>
      <c r="I75" s="9"/>
      <c r="J75" s="11" t="s">
        <v>31</v>
      </c>
      <c r="K75" s="9"/>
      <c r="L75" s="9"/>
      <c r="M75" s="9"/>
    </row>
    <row r="76" ht="15.75" customHeight="1">
      <c r="A76" s="9" t="s">
        <v>307</v>
      </c>
      <c r="B76" s="9" t="s">
        <v>308</v>
      </c>
      <c r="C76" s="9" t="s">
        <v>309</v>
      </c>
      <c r="D76" s="9"/>
      <c r="E76" s="9" t="s">
        <v>310</v>
      </c>
      <c r="F76" s="11" t="s">
        <v>53</v>
      </c>
      <c r="G76" s="9" t="s">
        <v>27</v>
      </c>
      <c r="H76" s="9"/>
      <c r="I76" s="9"/>
      <c r="J76" s="11" t="s">
        <v>31</v>
      </c>
      <c r="K76" s="9"/>
      <c r="L76" s="9"/>
      <c r="M76" s="9"/>
    </row>
    <row r="77" ht="15.75" customHeight="1">
      <c r="A77" s="9" t="s">
        <v>311</v>
      </c>
      <c r="B77" s="9" t="s">
        <v>308</v>
      </c>
      <c r="C77" s="9" t="s">
        <v>312</v>
      </c>
      <c r="D77" s="9"/>
      <c r="E77" s="9" t="s">
        <v>313</v>
      </c>
      <c r="F77" s="11" t="s">
        <v>77</v>
      </c>
      <c r="G77" s="9" t="s">
        <v>27</v>
      </c>
      <c r="H77" s="9"/>
      <c r="I77" s="9"/>
      <c r="J77" s="11" t="s">
        <v>31</v>
      </c>
      <c r="K77" s="9"/>
      <c r="L77" s="9"/>
      <c r="M77" s="9"/>
    </row>
    <row r="78" ht="15.75" customHeight="1">
      <c r="A78" s="9" t="s">
        <v>314</v>
      </c>
      <c r="B78" s="9" t="s">
        <v>308</v>
      </c>
      <c r="C78" s="9" t="s">
        <v>315</v>
      </c>
      <c r="D78" s="9"/>
      <c r="E78" s="9" t="s">
        <v>316</v>
      </c>
      <c r="F78" s="11" t="s">
        <v>77</v>
      </c>
      <c r="G78" s="9" t="s">
        <v>27</v>
      </c>
      <c r="H78" s="9"/>
      <c r="I78" s="9"/>
      <c r="J78" s="11" t="s">
        <v>31</v>
      </c>
      <c r="K78" s="9"/>
      <c r="L78" s="9"/>
      <c r="M78" s="9"/>
    </row>
    <row r="79" ht="15.75" customHeight="1">
      <c r="A79" s="9" t="s">
        <v>317</v>
      </c>
      <c r="B79" s="9" t="s">
        <v>308</v>
      </c>
      <c r="C79" s="9" t="s">
        <v>318</v>
      </c>
      <c r="D79" s="9"/>
      <c r="E79" s="9" t="s">
        <v>319</v>
      </c>
      <c r="F79" s="11" t="s">
        <v>77</v>
      </c>
      <c r="G79" s="9" t="s">
        <v>27</v>
      </c>
      <c r="H79" s="9"/>
      <c r="I79" s="9"/>
      <c r="J79" s="11" t="s">
        <v>31</v>
      </c>
      <c r="K79" s="9"/>
      <c r="L79" s="9"/>
      <c r="M79" s="9"/>
    </row>
    <row r="80" ht="15.75" customHeight="1">
      <c r="A80" s="9" t="s">
        <v>320</v>
      </c>
      <c r="B80" s="9" t="s">
        <v>308</v>
      </c>
      <c r="C80" s="9" t="s">
        <v>321</v>
      </c>
      <c r="D80" s="9"/>
      <c r="E80" s="9" t="s">
        <v>322</v>
      </c>
      <c r="F80" s="11" t="s">
        <v>53</v>
      </c>
      <c r="G80" s="9" t="s">
        <v>27</v>
      </c>
      <c r="H80" s="9"/>
      <c r="I80" s="9"/>
      <c r="J80" s="11" t="s">
        <v>31</v>
      </c>
      <c r="K80" s="9"/>
      <c r="L80" s="9"/>
      <c r="M80" s="9"/>
    </row>
    <row r="81" ht="15.75" customHeight="1">
      <c r="A81" s="9" t="s">
        <v>323</v>
      </c>
      <c r="B81" s="9" t="s">
        <v>308</v>
      </c>
      <c r="C81" s="9" t="s">
        <v>324</v>
      </c>
      <c r="D81" s="9"/>
      <c r="E81" s="9" t="s">
        <v>325</v>
      </c>
      <c r="F81" s="11" t="s">
        <v>77</v>
      </c>
      <c r="G81" s="9" t="s">
        <v>27</v>
      </c>
      <c r="H81" s="9"/>
      <c r="I81" s="9"/>
      <c r="J81" s="11" t="s">
        <v>31</v>
      </c>
      <c r="K81" s="9"/>
      <c r="L81" s="9"/>
      <c r="M81" s="9"/>
    </row>
    <row r="82" ht="15.75" customHeight="1">
      <c r="A82" s="9" t="s">
        <v>326</v>
      </c>
      <c r="B82" s="9" t="s">
        <v>308</v>
      </c>
      <c r="C82" s="9" t="s">
        <v>327</v>
      </c>
      <c r="D82" s="9"/>
      <c r="E82" s="9" t="s">
        <v>328</v>
      </c>
      <c r="F82" s="11" t="s">
        <v>77</v>
      </c>
      <c r="G82" s="9" t="s">
        <v>27</v>
      </c>
      <c r="H82" s="9"/>
      <c r="I82" s="9"/>
      <c r="J82" s="11" t="s">
        <v>31</v>
      </c>
      <c r="K82" s="9"/>
      <c r="L82" s="9"/>
      <c r="M82" s="9"/>
    </row>
    <row r="83" ht="15.75" customHeight="1">
      <c r="A83" s="9" t="s">
        <v>329</v>
      </c>
      <c r="B83" s="9" t="s">
        <v>308</v>
      </c>
      <c r="C83" s="9" t="s">
        <v>330</v>
      </c>
      <c r="D83" s="9"/>
      <c r="E83" s="9" t="s">
        <v>331</v>
      </c>
      <c r="F83" s="11" t="s">
        <v>332</v>
      </c>
      <c r="G83" s="9" t="s">
        <v>27</v>
      </c>
      <c r="H83" s="9"/>
      <c r="I83" s="9"/>
      <c r="J83" s="11" t="s">
        <v>31</v>
      </c>
      <c r="K83" s="9"/>
      <c r="L83" s="9"/>
      <c r="M83" s="9"/>
    </row>
    <row r="84" ht="15.75" customHeight="1">
      <c r="A84" s="9" t="s">
        <v>333</v>
      </c>
      <c r="B84" s="9" t="s">
        <v>334</v>
      </c>
      <c r="C84" s="9" t="s">
        <v>335</v>
      </c>
      <c r="D84" s="9"/>
      <c r="E84" s="9" t="s">
        <v>336</v>
      </c>
      <c r="F84" s="11" t="s">
        <v>33</v>
      </c>
      <c r="G84" s="9" t="s">
        <v>25</v>
      </c>
      <c r="H84" s="9" t="s">
        <v>337</v>
      </c>
      <c r="I84" s="9"/>
      <c r="J84" s="11" t="s">
        <v>31</v>
      </c>
      <c r="K84" s="9"/>
      <c r="L84" s="9"/>
      <c r="M84" s="9"/>
    </row>
    <row r="85" ht="15.75" customHeight="1">
      <c r="A85" s="9" t="s">
        <v>338</v>
      </c>
      <c r="B85" s="9" t="s">
        <v>334</v>
      </c>
      <c r="C85" s="9" t="s">
        <v>339</v>
      </c>
      <c r="D85" s="9"/>
      <c r="E85" s="9" t="s">
        <v>336</v>
      </c>
      <c r="F85" s="11" t="s">
        <v>33</v>
      </c>
      <c r="G85" s="9" t="s">
        <v>25</v>
      </c>
      <c r="H85" s="9" t="s">
        <v>337</v>
      </c>
      <c r="I85" s="9"/>
      <c r="J85" s="11" t="s">
        <v>31</v>
      </c>
      <c r="K85" s="9"/>
      <c r="L85" s="9"/>
      <c r="M85" s="9"/>
    </row>
    <row r="86" ht="15.75" customHeight="1">
      <c r="A86" s="9" t="s">
        <v>340</v>
      </c>
      <c r="B86" s="9" t="s">
        <v>334</v>
      </c>
      <c r="C86" s="9" t="s">
        <v>341</v>
      </c>
      <c r="D86" s="9"/>
      <c r="E86" s="9" t="s">
        <v>336</v>
      </c>
      <c r="F86" s="11" t="s">
        <v>53</v>
      </c>
      <c r="G86" s="9" t="s">
        <v>25</v>
      </c>
      <c r="H86" s="9" t="s">
        <v>337</v>
      </c>
      <c r="I86" s="9"/>
      <c r="J86" s="11" t="s">
        <v>31</v>
      </c>
      <c r="K86" s="9"/>
      <c r="L86" s="9"/>
      <c r="M86" s="9"/>
    </row>
    <row r="87" ht="15.75" customHeight="1">
      <c r="A87" s="9" t="s">
        <v>342</v>
      </c>
      <c r="B87" s="9" t="s">
        <v>334</v>
      </c>
      <c r="C87" s="9" t="s">
        <v>343</v>
      </c>
      <c r="D87" s="9"/>
      <c r="E87" s="9" t="s">
        <v>336</v>
      </c>
      <c r="F87" s="11" t="s">
        <v>53</v>
      </c>
      <c r="G87" s="9" t="s">
        <v>27</v>
      </c>
      <c r="H87" s="9"/>
      <c r="I87" s="9"/>
      <c r="J87" s="11" t="s">
        <v>31</v>
      </c>
      <c r="K87" s="9"/>
      <c r="L87" s="9"/>
      <c r="M87" s="9"/>
    </row>
    <row r="88" ht="15.75" customHeight="1">
      <c r="A88" s="9" t="s">
        <v>344</v>
      </c>
      <c r="B88" s="9" t="s">
        <v>334</v>
      </c>
      <c r="C88" s="9" t="s">
        <v>345</v>
      </c>
      <c r="D88" s="9"/>
      <c r="E88" s="9" t="s">
        <v>336</v>
      </c>
      <c r="F88" s="11" t="s">
        <v>77</v>
      </c>
      <c r="G88" s="9" t="s">
        <v>27</v>
      </c>
      <c r="H88" s="9"/>
      <c r="I88" s="9"/>
      <c r="J88" s="11" t="s">
        <v>31</v>
      </c>
      <c r="K88" s="9"/>
      <c r="L88" s="9"/>
      <c r="M88" s="9"/>
    </row>
    <row r="89" ht="15.75" customHeight="1">
      <c r="A89" s="9" t="s">
        <v>346</v>
      </c>
      <c r="B89" s="9" t="s">
        <v>334</v>
      </c>
      <c r="C89" s="9" t="s">
        <v>347</v>
      </c>
      <c r="D89" s="9"/>
      <c r="E89" s="9" t="s">
        <v>348</v>
      </c>
      <c r="F89" s="11" t="s">
        <v>53</v>
      </c>
      <c r="G89" s="9" t="s">
        <v>27</v>
      </c>
      <c r="H89" s="9"/>
      <c r="I89" s="9"/>
      <c r="J89" s="11" t="s">
        <v>31</v>
      </c>
      <c r="K89" s="9"/>
      <c r="L89" s="9"/>
      <c r="M89" s="9"/>
    </row>
    <row r="90" ht="15.75" customHeight="1">
      <c r="A90" s="9" t="s">
        <v>349</v>
      </c>
      <c r="B90" s="9" t="s">
        <v>334</v>
      </c>
      <c r="C90" s="9" t="s">
        <v>350</v>
      </c>
      <c r="D90" s="9"/>
      <c r="E90" s="9" t="s">
        <v>351</v>
      </c>
      <c r="F90" s="11" t="s">
        <v>77</v>
      </c>
      <c r="G90" s="9" t="s">
        <v>27</v>
      </c>
      <c r="H90" s="9"/>
      <c r="I90" s="9"/>
      <c r="J90" s="11" t="s">
        <v>31</v>
      </c>
      <c r="K90" s="9"/>
      <c r="L90" s="9"/>
      <c r="M90" s="9"/>
    </row>
    <row r="91" ht="15.75" customHeight="1">
      <c r="A91" s="9" t="s">
        <v>352</v>
      </c>
      <c r="B91" s="9" t="s">
        <v>353</v>
      </c>
      <c r="C91" s="9" t="s">
        <v>354</v>
      </c>
      <c r="D91" s="9"/>
      <c r="E91" s="9" t="s">
        <v>355</v>
      </c>
      <c r="F91" s="11" t="s">
        <v>53</v>
      </c>
      <c r="G91" s="9" t="s">
        <v>25</v>
      </c>
      <c r="H91" s="9" t="s">
        <v>34</v>
      </c>
      <c r="I91" s="9"/>
      <c r="J91" s="11" t="s">
        <v>31</v>
      </c>
      <c r="K91" s="9"/>
      <c r="L91" s="9"/>
      <c r="M91" s="9"/>
    </row>
    <row r="92" ht="15.75" customHeight="1">
      <c r="A92" s="9" t="s">
        <v>356</v>
      </c>
      <c r="B92" s="9" t="s">
        <v>353</v>
      </c>
      <c r="C92" s="9" t="s">
        <v>357</v>
      </c>
      <c r="D92" s="9"/>
      <c r="E92" s="9" t="s">
        <v>201</v>
      </c>
      <c r="F92" s="11" t="s">
        <v>53</v>
      </c>
      <c r="G92" s="9" t="s">
        <v>27</v>
      </c>
      <c r="H92" s="9"/>
      <c r="I92" s="9"/>
      <c r="J92" s="11" t="s">
        <v>31</v>
      </c>
      <c r="K92" s="9"/>
      <c r="L92" s="9"/>
      <c r="M92" s="9"/>
    </row>
    <row r="93" ht="15.75" customHeight="1">
      <c r="A93" s="9" t="s">
        <v>358</v>
      </c>
      <c r="B93" s="9" t="s">
        <v>353</v>
      </c>
      <c r="C93" s="9" t="s">
        <v>359</v>
      </c>
      <c r="D93" s="9"/>
      <c r="E93" s="9" t="s">
        <v>201</v>
      </c>
      <c r="F93" s="11" t="s">
        <v>77</v>
      </c>
      <c r="G93" s="9" t="s">
        <v>27</v>
      </c>
      <c r="H93" s="9"/>
      <c r="I93" s="9"/>
      <c r="J93" s="11" t="s">
        <v>31</v>
      </c>
      <c r="K93" s="9"/>
      <c r="L93" s="9"/>
      <c r="M93" s="9"/>
    </row>
    <row r="94" ht="15.75" customHeight="1">
      <c r="A94" s="9" t="s">
        <v>360</v>
      </c>
      <c r="B94" s="9" t="s">
        <v>353</v>
      </c>
      <c r="C94" s="9" t="s">
        <v>361</v>
      </c>
      <c r="D94" s="9"/>
      <c r="E94" s="9" t="s">
        <v>362</v>
      </c>
      <c r="F94" s="11" t="s">
        <v>77</v>
      </c>
      <c r="G94" s="9" t="s">
        <v>27</v>
      </c>
      <c r="H94" s="9"/>
      <c r="I94" s="9"/>
      <c r="J94" s="11" t="s">
        <v>31</v>
      </c>
      <c r="K94" s="9"/>
      <c r="L94" s="9"/>
      <c r="M94" s="9"/>
    </row>
    <row r="95" ht="15.75" customHeight="1">
      <c r="A95" s="9" t="s">
        <v>363</v>
      </c>
      <c r="B95" s="9" t="s">
        <v>353</v>
      </c>
      <c r="C95" s="9" t="s">
        <v>364</v>
      </c>
      <c r="D95" s="9"/>
      <c r="E95" s="9" t="s">
        <v>365</v>
      </c>
      <c r="F95" s="11" t="s">
        <v>332</v>
      </c>
      <c r="G95" s="9" t="s">
        <v>27</v>
      </c>
      <c r="H95" s="9"/>
      <c r="I95" s="9"/>
      <c r="J95" s="11" t="s">
        <v>31</v>
      </c>
      <c r="K95" s="9"/>
      <c r="L95" s="9"/>
      <c r="M95" s="9"/>
    </row>
    <row r="96" ht="15.75" customHeight="1">
      <c r="A96" s="9" t="s">
        <v>366</v>
      </c>
      <c r="B96" s="9" t="s">
        <v>367</v>
      </c>
      <c r="C96" s="9" t="s">
        <v>368</v>
      </c>
      <c r="D96" s="9"/>
      <c r="E96" s="9" t="s">
        <v>369</v>
      </c>
      <c r="F96" s="11" t="s">
        <v>77</v>
      </c>
      <c r="G96" s="9" t="s">
        <v>27</v>
      </c>
      <c r="H96" s="9"/>
      <c r="I96" s="9"/>
      <c r="J96" s="11" t="s">
        <v>31</v>
      </c>
      <c r="K96" s="9"/>
      <c r="L96" s="9"/>
      <c r="M96" s="9"/>
    </row>
    <row r="97" ht="15.75" customHeight="1">
      <c r="A97" s="9" t="s">
        <v>370</v>
      </c>
      <c r="B97" s="9" t="s">
        <v>367</v>
      </c>
      <c r="C97" s="9" t="s">
        <v>371</v>
      </c>
      <c r="D97" s="9"/>
      <c r="E97" s="9" t="s">
        <v>372</v>
      </c>
      <c r="F97" s="11" t="s">
        <v>77</v>
      </c>
      <c r="G97" s="9" t="s">
        <v>27</v>
      </c>
      <c r="H97" s="9"/>
      <c r="I97" s="9"/>
      <c r="J97" s="11" t="s">
        <v>31</v>
      </c>
      <c r="K97" s="9"/>
      <c r="L97" s="9"/>
      <c r="M97" s="9"/>
    </row>
    <row r="98" ht="15.75" customHeight="1">
      <c r="A98" s="9" t="s">
        <v>373</v>
      </c>
      <c r="B98" s="9" t="s">
        <v>367</v>
      </c>
      <c r="C98" s="9" t="s">
        <v>374</v>
      </c>
      <c r="D98" s="9"/>
      <c r="E98" s="9" t="s">
        <v>375</v>
      </c>
      <c r="F98" s="11" t="s">
        <v>332</v>
      </c>
      <c r="G98" s="9" t="s">
        <v>27</v>
      </c>
      <c r="H98" s="9"/>
      <c r="I98" s="9"/>
      <c r="J98" s="11" t="s">
        <v>31</v>
      </c>
      <c r="K98" s="9"/>
      <c r="L98" s="9"/>
      <c r="M98" s="9"/>
    </row>
    <row r="99" ht="15.75" customHeight="1">
      <c r="A99" s="9" t="s">
        <v>376</v>
      </c>
      <c r="B99" s="9" t="s">
        <v>377</v>
      </c>
      <c r="C99" s="9" t="s">
        <v>378</v>
      </c>
      <c r="D99" s="9"/>
      <c r="E99" s="9" t="s">
        <v>379</v>
      </c>
      <c r="F99" s="11" t="s">
        <v>53</v>
      </c>
      <c r="G99" s="9" t="s">
        <v>27</v>
      </c>
      <c r="H99" s="9"/>
      <c r="I99" s="9"/>
      <c r="J99" s="11" t="s">
        <v>31</v>
      </c>
      <c r="K99" s="9"/>
      <c r="L99" s="9"/>
      <c r="M99" s="9"/>
    </row>
    <row r="100" ht="15.75" customHeight="1">
      <c r="A100" s="9" t="s">
        <v>380</v>
      </c>
      <c r="B100" s="9" t="s">
        <v>377</v>
      </c>
      <c r="C100" s="9" t="s">
        <v>381</v>
      </c>
      <c r="D100" s="9"/>
      <c r="E100" s="9" t="s">
        <v>201</v>
      </c>
      <c r="F100" s="11" t="s">
        <v>77</v>
      </c>
      <c r="G100" s="9" t="s">
        <v>27</v>
      </c>
      <c r="H100" s="9"/>
      <c r="I100" s="9"/>
      <c r="J100" s="11" t="s">
        <v>31</v>
      </c>
      <c r="K100" s="9"/>
      <c r="L100" s="9"/>
      <c r="M100" s="9"/>
    </row>
    <row r="101" ht="15.75" customHeight="1">
      <c r="A101" s="9" t="s">
        <v>382</v>
      </c>
      <c r="B101" s="9" t="s">
        <v>377</v>
      </c>
      <c r="C101" s="9" t="s">
        <v>383</v>
      </c>
      <c r="D101" s="9"/>
      <c r="E101" s="9" t="s">
        <v>384</v>
      </c>
      <c r="F101" s="11" t="s">
        <v>77</v>
      </c>
      <c r="G101" s="9" t="s">
        <v>27</v>
      </c>
      <c r="H101" s="9"/>
      <c r="I101" s="9"/>
      <c r="J101" s="11" t="s">
        <v>31</v>
      </c>
      <c r="K101" s="9"/>
      <c r="L101" s="9"/>
      <c r="M101" s="9"/>
    </row>
  </sheetData>
  <autoFilter ref="$A$1:$M$101"/>
  <conditionalFormatting sqref="J2:J101">
    <cfRule type="cellIs" dxfId="0" priority="1" operator="equal">
      <formula>"Pass"</formula>
    </cfRule>
  </conditionalFormatting>
  <conditionalFormatting sqref="J2:J101">
    <cfRule type="cellIs" dxfId="1" priority="2" operator="equal">
      <formula>"Fail"</formula>
    </cfRule>
  </conditionalFormatting>
  <conditionalFormatting sqref="J2:J101">
    <cfRule type="cellIs" dxfId="2" priority="3" operator="equal">
      <formula>"Blocked"</formula>
    </cfRule>
  </conditionalFormatting>
  <conditionalFormatting sqref="J2:J101">
    <cfRule type="cellIs" dxfId="3" priority="4" operator="equal">
      <formula>"Skipped"</formula>
    </cfRule>
  </conditionalFormatting>
  <dataValidations>
    <dataValidation type="list" allowBlank="1" sqref="J2:J101">
      <formula1>"Not Run,Pass,Fail,Blocked,Skipped"</formula1>
    </dataValidation>
    <dataValidation type="list" allowBlank="1" sqref="F2:F101">
      <formula1>"P0,P1,P2,P3"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8.0"/>
    <col customWidth="1" min="3" max="26" width="8.71"/>
  </cols>
  <sheetData>
    <row r="1">
      <c r="A1" s="2" t="s">
        <v>1</v>
      </c>
    </row>
    <row r="3">
      <c r="A3" s="3" t="s">
        <v>3</v>
      </c>
      <c r="B3" s="6">
        <v>5000000.0</v>
      </c>
    </row>
    <row r="4">
      <c r="A4" s="3" t="s">
        <v>17</v>
      </c>
      <c r="B4" s="8">
        <v>9.0</v>
      </c>
    </row>
    <row r="5">
      <c r="A5" s="3" t="s">
        <v>19</v>
      </c>
      <c r="B5" s="8">
        <v>20.0</v>
      </c>
    </row>
    <row r="7">
      <c r="A7" s="3" t="s">
        <v>20</v>
      </c>
      <c r="B7" s="12">
        <f>B4/12/100</f>
        <v>0.0075</v>
      </c>
    </row>
    <row r="8">
      <c r="A8" s="3" t="s">
        <v>35</v>
      </c>
      <c r="B8" s="13">
        <f>B5*12</f>
        <v>240</v>
      </c>
    </row>
    <row r="9">
      <c r="A9" s="3" t="s">
        <v>40</v>
      </c>
      <c r="B9" s="15">
        <f>IF(B7=0,B3/B8,B3*B7*(1+B7)^B8/((1+B7)^B8-1))</f>
        <v>44986.29779</v>
      </c>
    </row>
    <row r="10">
      <c r="A10" s="3" t="s">
        <v>58</v>
      </c>
      <c r="B10" s="15">
        <f>B9*B8</f>
        <v>10796711.47</v>
      </c>
    </row>
    <row r="11">
      <c r="A11" s="3" t="s">
        <v>65</v>
      </c>
      <c r="B11" s="15">
        <f>B10-B3</f>
        <v>5796711.47</v>
      </c>
    </row>
    <row r="12">
      <c r="A12" s="3" t="s">
        <v>73</v>
      </c>
      <c r="B12" s="16">
        <f>IF(B10=0,0,B11/B10)</f>
        <v>0.5368960249</v>
      </c>
    </row>
    <row r="14">
      <c r="A14" s="5" t="s">
        <v>87</v>
      </c>
    </row>
    <row r="15">
      <c r="A15" s="5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